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E48019C7C4211D/Documentos/1.- UAEM/9.- NOVENO SEMESTRE/Cómputo Evolutivo/"/>
    </mc:Choice>
  </mc:AlternateContent>
  <xr:revisionPtr revIDLastSave="0" documentId="8_{B34827C7-C815-4349-9704-7573ABF70F75}" xr6:coauthVersionLast="47" xr6:coauthVersionMax="47" xr10:uidLastSave="{00000000-0000-0000-0000-000000000000}"/>
  <bookViews>
    <workbookView xWindow="-120" yWindow="-120" windowWidth="29040" windowHeight="16440" xr2:uid="{B9B5567C-D133-416E-BD8E-081A5070A0E8}"/>
  </bookViews>
  <sheets>
    <sheet name="Recopilación de Datos" sheetId="3" r:id="rId1"/>
    <sheet name="Procesador" sheetId="1" r:id="rId2"/>
    <sheet name="GPU" sheetId="4" r:id="rId3"/>
    <sheet name="RAM" sheetId="2" r:id="rId4"/>
    <sheet name="Almacenamiento" sheetId="8" r:id="rId5"/>
    <sheet name="Refrigeración" sheetId="6" r:id="rId6"/>
    <sheet name="Fuente" sheetId="5" r:id="rId7"/>
    <sheet name="Gabinete" sheetId="7" r:id="rId8"/>
    <sheet name="Aditamento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2" i="7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2" i="9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2" i="5"/>
  <c r="B2" i="6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2" i="8"/>
  <c r="B2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2" i="4"/>
  <c r="B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2" i="3"/>
</calcChain>
</file>

<file path=xl/sharedStrings.xml><?xml version="1.0" encoding="utf-8"?>
<sst xmlns="http://schemas.openxmlformats.org/spreadsheetml/2006/main" count="4563" uniqueCount="1490">
  <si>
    <t>ID</t>
  </si>
  <si>
    <t>ID Binario</t>
  </si>
  <si>
    <t>Nivel de Ventas</t>
  </si>
  <si>
    <t>Núcleos / Hilos</t>
  </si>
  <si>
    <t>Frecuencia (Base/Boost)</t>
  </si>
  <si>
    <t>Overclocking</t>
  </si>
  <si>
    <t>Gráficos Integrados</t>
  </si>
  <si>
    <t>Caché L3</t>
  </si>
  <si>
    <t>1. Superventas</t>
  </si>
  <si>
    <t>Sí</t>
  </si>
  <si>
    <t>3.9 / 4.4 GHz</t>
  </si>
  <si>
    <t>Sí (Vega 7)</t>
  </si>
  <si>
    <t>16 MB</t>
  </si>
  <si>
    <t>2.5 / 4.4 GHz</t>
  </si>
  <si>
    <t>No</t>
  </si>
  <si>
    <t>18 MB</t>
  </si>
  <si>
    <t>3.6 / 4.2 GHz</t>
  </si>
  <si>
    <t>3.8 / 4.6 GHz</t>
  </si>
  <si>
    <t>Sí (Vega 8)</t>
  </si>
  <si>
    <t>3.5 / 4.4 GHz</t>
  </si>
  <si>
    <t>32 MB</t>
  </si>
  <si>
    <t>3.3 / 4.3 GHz</t>
  </si>
  <si>
    <t>12 MB</t>
  </si>
  <si>
    <t>3.7 / 4.6 GHz</t>
  </si>
  <si>
    <t>3.4 / 4.6 GHz</t>
  </si>
  <si>
    <t>2. Muy Populares</t>
  </si>
  <si>
    <t>14 (6P+8E) / 20</t>
  </si>
  <si>
    <t>3.5 / 5.1 GHz</t>
  </si>
  <si>
    <t>Sí (UHD 770)</t>
  </si>
  <si>
    <t>24 MB</t>
  </si>
  <si>
    <t>3.5 / 5.3 GHz</t>
  </si>
  <si>
    <t>10 (6P+4E) / 16</t>
  </si>
  <si>
    <t>2.5 / 4.6 GHz</t>
  </si>
  <si>
    <t>Sí (UHD 730)</t>
  </si>
  <si>
    <t>20 MB</t>
  </si>
  <si>
    <t>3.8 / 5.1 GHz</t>
  </si>
  <si>
    <t>Sí (Radeon)</t>
  </si>
  <si>
    <t>4.2 / 5.0 GHz</t>
  </si>
  <si>
    <t>96 MB</t>
  </si>
  <si>
    <t>3.4 / 4.5 GHz</t>
  </si>
  <si>
    <t>3.7 / 4.8 GHz</t>
  </si>
  <si>
    <t>64 MB</t>
  </si>
  <si>
    <t>3.8 / 4.7 GHz</t>
  </si>
  <si>
    <t>3. Populares</t>
  </si>
  <si>
    <t>20 (8P+12E) / 28</t>
  </si>
  <si>
    <t>3.4 / 5.6 GHz</t>
  </si>
  <si>
    <t>33 MB</t>
  </si>
  <si>
    <t>3.7 / 4.9 GHz</t>
  </si>
  <si>
    <t>4.2 / 5.1 GHz</t>
  </si>
  <si>
    <t>Sí (Radeon 780M)</t>
  </si>
  <si>
    <t>16 (8P+8E) / 24</t>
  </si>
  <si>
    <t>3.4 / 5.4 GHz</t>
  </si>
  <si>
    <t>30 MB</t>
  </si>
  <si>
    <t>4.7 / 5.6 GHz</t>
  </si>
  <si>
    <t>16 / 32</t>
  </si>
  <si>
    <t>4.5 / 5.7 GHz</t>
  </si>
  <si>
    <t>24 (8P+16E) / 32</t>
  </si>
  <si>
    <t>3.2 / 6.0 GHz</t>
  </si>
  <si>
    <t>36 MB</t>
  </si>
  <si>
    <t>4. Opciones Sólidas</t>
  </si>
  <si>
    <t>3.2 / 5.2 GHz</t>
  </si>
  <si>
    <t>3.4 / 4.9 GHz</t>
  </si>
  <si>
    <t>3.7 / 4.2 GHz</t>
  </si>
  <si>
    <t>8 MB</t>
  </si>
  <si>
    <t>Ryzen 7 3700X</t>
  </si>
  <si>
    <t>3.6 / 4.4 GHz</t>
  </si>
  <si>
    <t>3.6 / 4.1 GHz</t>
  </si>
  <si>
    <t>4.2 / 5.7 GHz</t>
  </si>
  <si>
    <t>128 MB</t>
  </si>
  <si>
    <t>4.4 / 5.6 GHz</t>
  </si>
  <si>
    <t>5. Menos Comunes</t>
  </si>
  <si>
    <t>2.5 / 4.7 GHz</t>
  </si>
  <si>
    <t>2.1 / 5.2 GHz</t>
  </si>
  <si>
    <t>2.5 / 4.8 GHz</t>
  </si>
  <si>
    <t>3.7 / 5.0 GHz</t>
  </si>
  <si>
    <t>3.5 / 5.0 GHz</t>
  </si>
  <si>
    <t>Sí (Radeon 740M)</t>
  </si>
  <si>
    <t>2.0 / 5.8 GHz</t>
  </si>
  <si>
    <t>2.1 / 5.4 GHz</t>
  </si>
  <si>
    <t>3.6 / 4.6 GHz</t>
  </si>
  <si>
    <t>3.0 / 4.1 GHz</t>
  </si>
  <si>
    <t>3.5 / 4.7 GHz</t>
  </si>
  <si>
    <t>Binario</t>
  </si>
  <si>
    <t>Marca</t>
  </si>
  <si>
    <t>Modelo / Serie</t>
  </si>
  <si>
    <t>Tipo</t>
  </si>
  <si>
    <t>Capacidad Total (GB)</t>
  </si>
  <si>
    <t>Kit (Módulos)</t>
  </si>
  <si>
    <t>Velocidad (MT/s)</t>
  </si>
  <si>
    <t>Latencia (CL)</t>
  </si>
  <si>
    <t>Mejor Precio (MXN)</t>
  </si>
  <si>
    <t>Tienda (Mejor Precio)</t>
  </si>
  <si>
    <t>Justificación (Por qué está en la lista)</t>
  </si>
  <si>
    <t>DDR4 (Sweet Spot - 16GB)</t>
  </si>
  <si>
    <t>Muy Alto</t>
  </si>
  <si>
    <t>Teamgroup</t>
  </si>
  <si>
    <t>T-Force Vulcan Z</t>
  </si>
  <si>
    <t>DDR4</t>
  </si>
  <si>
    <t>16GB</t>
  </si>
  <si>
    <t>2x8GB</t>
  </si>
  <si>
    <t>Mercado Libre</t>
  </si>
  <si>
    <t>Constantemente en el Top 3 de ventas en ML y Amazon. El líder en precio.</t>
  </si>
  <si>
    <t>Kingston</t>
  </si>
  <si>
    <t>FURY Beast</t>
  </si>
  <si>
    <t>Amazon</t>
  </si>
  <si>
    <t>El más vendido #1 o #2 en Amazon. Enorme confianza de marca.</t>
  </si>
  <si>
    <t>Corsair</t>
  </si>
  <si>
    <t>Vengeance LPX</t>
  </si>
  <si>
    <t>Top 5 histórico. La opción "clásica" y de perfil bajo preferida por muchos.</t>
  </si>
  <si>
    <t>Alto</t>
  </si>
  <si>
    <t>ADATA</t>
  </si>
  <si>
    <t>XPG Gammix D10</t>
  </si>
  <si>
    <t>Frecuentemente en el Top 10 de ventas, compitiendo directamente con Teamgroup.</t>
  </si>
  <si>
    <t>PNY</t>
  </si>
  <si>
    <t>XLR8 Gaming</t>
  </si>
  <si>
    <t>Aparece en listas de "Más Vendidos" como una alternativa de valor a las 3 grandes.</t>
  </si>
  <si>
    <t>Medio</t>
  </si>
  <si>
    <t>Opción de mejora de velocidad (3600MHz) más vendida para DDR4.</t>
  </si>
  <si>
    <t>La contraparte de Corsair para 3600MHz, también con ventas consistentes.</t>
  </si>
  <si>
    <t>DDR4 (Sweet Spot - 16GB RGB)</t>
  </si>
  <si>
    <t>T-Force Delta RGB</t>
  </si>
  <si>
    <t>La memoria RGB más vendida en México, gracias a su excelente precio.</t>
  </si>
  <si>
    <t>FURY Beast RGB</t>
  </si>
  <si>
    <t>La segunda RGB más vendida. Fuerte presencia en ML y Amazon.</t>
  </si>
  <si>
    <t>Vengeance RGB Pro</t>
  </si>
  <si>
    <t>La opción "premium" de RGB en DDR4. Muy popular a pesar del precio.</t>
  </si>
  <si>
    <t>XPG Spectrix D50</t>
  </si>
  <si>
    <t>La oferta RGB de ADATA. Fuerte presencia en el Top 20 de ventas.</t>
  </si>
  <si>
    <t>La versión de 3600MHz de la RGB más vendida.</t>
  </si>
  <si>
    <t>DDR4 (Mejora - 32GB)</t>
  </si>
  <si>
    <t>32GB</t>
  </si>
  <si>
    <t>2x16GB</t>
  </si>
  <si>
    <t>La opción #1 más vendida para quienes buscan 32GB en DDR4.</t>
  </si>
  <si>
    <t>El competidor directo de Kingston por el #1 en 32GB. El líder en precio.</t>
  </si>
  <si>
    <t>La opción "clásica" para 32GB. Siempre presente en las listas.</t>
  </si>
  <si>
    <t>La opción de 32GB/3600MHz más popular para DDR4.</t>
  </si>
  <si>
    <t>Contraparte de Corsair para 32GB/3600MHz, ventas estables.</t>
  </si>
  <si>
    <t>DDR4 (Mejora - 32GB RGB)</t>
  </si>
  <si>
    <t>La opción RGB más vendida para 32GB, por su precio.</t>
  </si>
  <si>
    <t>Segunda opción RGB más vendida en 32GB.</t>
  </si>
  <si>
    <t>Opción "premium" RGB en 32GB, con ventas consistentes.</t>
  </si>
  <si>
    <t>DDR5 (Sweet Spot - 32GB)</t>
  </si>
  <si>
    <t>DDR5</t>
  </si>
  <si>
    <t>El kit DDR5 más vendido en México (Amazon #1). Es el nuevo estándar.</t>
  </si>
  <si>
    <t>Vengeance</t>
  </si>
  <si>
    <t>El #2 más vendido en DDR5. Fuerte presencia en ML.</t>
  </si>
  <si>
    <t>XPG Lancer</t>
  </si>
  <si>
    <t>El competidor de precio en DDR5. Muy popular.</t>
  </si>
  <si>
    <t>Opción de 5200MHz más vendida, (compra de entrada para DDR5).</t>
  </si>
  <si>
    <t>Opción de 5200MHz de Corsair, también muy popular.</t>
  </si>
  <si>
    <t>T-Force Vulcan</t>
  </si>
  <si>
    <t>La oferta de valor de Teamgroup en DDR5, con ventas crecientes.</t>
  </si>
  <si>
    <t>Crucial</t>
  </si>
  <si>
    <t>Pro</t>
  </si>
  <si>
    <t>Opción de alta compatibilidad (JEDEC) que aparece en ventas por su fiabilidad.</t>
  </si>
  <si>
    <t>DDR5 (Sweet Spot - 32GB RGB)</t>
  </si>
  <si>
    <t>El kit DDR5 RGB más vendido en México. Top 5 general de DDR5.</t>
  </si>
  <si>
    <t>Vengeance RGB</t>
  </si>
  <si>
    <t>El #2 en DDR5 RGB. Muy popular en ML y tiendas especializadas.</t>
  </si>
  <si>
    <t>XPG Lancer RGB</t>
  </si>
  <si>
    <t>El competidor RGB de precio. Siempre en el Top 10 de DDR5.</t>
  </si>
  <si>
    <t>Fuerte presencia por ser la opción RGB de 6000MHz más económica.</t>
  </si>
  <si>
    <t>G.Skill</t>
  </si>
  <si>
    <t>Trident Z5 RGB</t>
  </si>
  <si>
    <t>DESCARTADO ANTES, AHORA JUSTIFICADO: Es el kit "entusiasta" (CL30) más vendido.</t>
  </si>
  <si>
    <t>La versión RGB de la DDR5 de entrada (5200MHz).</t>
  </si>
  <si>
    <t>La contraparte de Corsair RGB a 5200MHz.</t>
  </si>
  <si>
    <t>DDR4/DDR5 (Variantes de 1 Módulo - Comunes para Upgrade)</t>
  </si>
  <si>
    <t>1x16GB</t>
  </si>
  <si>
    <t>La memoria de 16GB (1 solo módulo) más vendida para upgrades de DDR4.</t>
  </si>
  <si>
    <t>La memoria de 16GB (1 solo módulo) más vendida para upgrades de DDR5.</t>
  </si>
  <si>
    <t>El #1 superventas. La APU más popular en México para ensambles de entrada sin GPU dedicada. Domina las listas.</t>
  </si>
  <si>
    <t>El "rey" del costo-beneficio para gaming (con GPU). Compite con el 5600G por el #1 en ventas totales.</t>
  </si>
  <si>
    <t>Alternativa de valor al 12400F/5600. Popular por su precio extremadamente bajo.</t>
  </si>
  <si>
    <t>El "hermano mayor" del 5600G. La APU de 8 núcleos más vendida para multitarea ligera.</t>
  </si>
  <si>
    <t>Considerado el "verdadero" rival del 12400F. PCIe 4.0 lo hace una opción muy popular.</t>
  </si>
  <si>
    <t>El CPU de gama de entrada (con GPU) más vendido. Ha hecho irrelevantes a los Pentium/Celeron.</t>
  </si>
  <si>
    <t>Un "best-seller" histórico. Aunque el 5600 es mejor valor, sigue siendo muy popular por su nombre.</t>
  </si>
  <si>
    <t>El CPU de 8 núcleos más económico y popular de la plataforma AM4. Un "top seller".</t>
  </si>
  <si>
    <t>El "sweet spot" de Intel para gaming/productividad de gama alta. Muy popular en listas.</t>
  </si>
  <si>
    <t>El reemplazo directo del 13600K. Se vende casi en la misma proporción para ensambles nuevos.</t>
  </si>
  <si>
    <t>Opción muy popular de 13a gen para quienes no quieren la versión "F" o "K".</t>
  </si>
  <si>
    <t>El punto de entrada a la plataforma AM5. El CPU AM5 más vendido y popular.</t>
  </si>
  <si>
    <t>Considerado el "mejor CPU para gaming" del mercado. Es el "tope de gama" más vendido para jugadores.</t>
  </si>
  <si>
    <t>La mejor actualización para AM4. Sigue siendo un "top seller" por la enorme base de usuarios de AM4.</t>
  </si>
  <si>
    <t>Un "best-seller" de Intel. Es la evolución del 12400F y muy popular en ensambles de gama media.</t>
  </si>
  <si>
    <t>Opción de productividad AM4 más popular. Sus constantes ofertas lo mantienen en las listas.</t>
  </si>
  <si>
    <t>Opción popular de 8 núcleos para AM4, compite con el 5700X cuando está en oferta.</t>
  </si>
  <si>
    <t>El i7 más popular. Considerado el "sweet spot" de gama alta para productividad y gaming.</t>
  </si>
  <si>
    <t>Sigue siendo popular por ser la opción "K" de 12a gen más balanceada.</t>
  </si>
  <si>
    <t>La APU más potente del mercado. Popular en ensambles "mini-PC" sin GPU.</t>
  </si>
  <si>
    <t>La versión de 13a gen del i7. Aún muy popular y a veces preferido por precio sobre el 14700K.</t>
  </si>
  <si>
    <t>El CPU de productividad (12 núcleos) más popular de AM5.</t>
  </si>
  <si>
    <t>El tope de gama de AM5 para productividad. Presente en todas las tiendas de entusiastas.</t>
  </si>
  <si>
    <t>El tope de gama de Intel. Popular en ensambles " entusiastas" de máximo rendimiento.</t>
  </si>
  <si>
    <t>Mercado Libre (Usado)</t>
  </si>
  <si>
    <t>Aún relevante. Es el CPU "usado" más popular y vendido en ML para actualizar PCs AM4 antiguas.</t>
  </si>
  <si>
    <t>Opción popular de i9 de 12a gen, a menudo en oferta.</t>
  </si>
  <si>
    <t>El tope de gama de AM4 para productividad. Sigue siendo una opción popular.</t>
  </si>
  <si>
    <t>La APU más económica del mercado. Vende mucho por ser la opción de entrada más barata.</t>
  </si>
  <si>
    <t>El CPU de 8 núcleos "usado" más popular en ML para AM4.</t>
  </si>
  <si>
    <t>El CPU (sin gráficos) más barato de AMD. Popular en ensambles de presupuesto extremo.</t>
  </si>
  <si>
    <t>Opción de nicho para "lo mejor de ambos mundos" (gaming y productividad).</t>
  </si>
  <si>
    <t>La versión con gráficos del 12400F. Popular para oficinas que necesitan video sin GPU.</t>
  </si>
  <si>
    <t>Opción popular de 14a gen para ensambles de oficina/productividad sin "K".</t>
  </si>
  <si>
    <t>Opción "F" (sin gráficos) del i7 de 13a gen. Popular por ser más barata.</t>
  </si>
  <si>
    <t>Opción de gama de entrada con gráficos de 13a gen.</t>
  </si>
  <si>
    <t>Opción de productividad (más núcleos "E") sin "K". Muy popular para workstations.</t>
  </si>
  <si>
    <t>Muy popular por ser el CPU AM5 (sin gráficos) más barato. A menudo importado.</t>
  </si>
  <si>
    <t>La APU de nueva generación más económica. Ventas crecientes.</t>
  </si>
  <si>
    <t>La versión "F" del i7 de 14a gen. Popular por ser más económica.</t>
  </si>
  <si>
    <t>Una variante menos conocida del 5700X, pero popular en ML por su precio.</t>
  </si>
  <si>
    <t>Versión ligeramente más rápida del 5600G. Popularidad creciente.</t>
  </si>
  <si>
    <t>La versión "F" del 14600K. Popular para gamers que ahorran al no tener gráficos.</t>
  </si>
  <si>
    <t>La versión más económica del "X3D". Muy popular para actualizar AM4 con presupuesto.</t>
  </si>
  <si>
    <t>Opción de entrada de 14a gen.</t>
  </si>
  <si>
    <t>Versión "F" del i9, para quienes buscan el máximo rendimiento con GPU dedicada.</t>
  </si>
  <si>
    <t>Socket</t>
  </si>
  <si>
    <t>AM4</t>
  </si>
  <si>
    <t>LGA 1700</t>
  </si>
  <si>
    <t>AM5</t>
  </si>
  <si>
    <t>Modelo/Serie</t>
  </si>
  <si>
    <t>AMD</t>
  </si>
  <si>
    <t>Ryzen 5 5600G</t>
  </si>
  <si>
    <t>Intel</t>
  </si>
  <si>
    <t>Core i5-12400F</t>
  </si>
  <si>
    <t>Ryzen 5 5500</t>
  </si>
  <si>
    <t>Ryzen 7 5700G</t>
  </si>
  <si>
    <t>Ryzen 5 5600</t>
  </si>
  <si>
    <t>Core i3-12100F</t>
  </si>
  <si>
    <t>Ryzen 5 5600X</t>
  </si>
  <si>
    <t>Ryzen 7 5700X</t>
  </si>
  <si>
    <t>Core i5-13600K</t>
  </si>
  <si>
    <t>Core i5-14600K</t>
  </si>
  <si>
    <t>Core i5-13400</t>
  </si>
  <si>
    <t>Ryzen 5 7600</t>
  </si>
  <si>
    <t>Ryzen 7 7800X3D</t>
  </si>
  <si>
    <t>Ryzen 7 5800X3D</t>
  </si>
  <si>
    <t>Core i5-13400F</t>
  </si>
  <si>
    <t>Ryzen 9 5900X</t>
  </si>
  <si>
    <t>Ryzen 7 5800X</t>
  </si>
  <si>
    <t>Core i7-14700K</t>
  </si>
  <si>
    <t>Core i5-12600K</t>
  </si>
  <si>
    <t>Ryzen 7 8700G</t>
  </si>
  <si>
    <t>Core i7-13700K</t>
  </si>
  <si>
    <t>Ryzen 9 7900X</t>
  </si>
  <si>
    <t>Ryzen 9 7950X</t>
  </si>
  <si>
    <t>Core i9-14900K</t>
  </si>
  <si>
    <t>Ryzen 5 3600</t>
  </si>
  <si>
    <t>Core i9-12900K</t>
  </si>
  <si>
    <t>Ryzen 9 5950X</t>
  </si>
  <si>
    <t>Ryzen 5 4600G</t>
  </si>
  <si>
    <t>Ryzen 5 4500</t>
  </si>
  <si>
    <t>Ryzen 9 7950X3D</t>
  </si>
  <si>
    <t>Ryzen 9 7900X3D</t>
  </si>
  <si>
    <t>Core i5-12400</t>
  </si>
  <si>
    <t>Core i5-14400</t>
  </si>
  <si>
    <t>Core i7-13700F</t>
  </si>
  <si>
    <t>Core i3-13100</t>
  </si>
  <si>
    <t>Core i5-13500</t>
  </si>
  <si>
    <t>Ryzen 5 7500F</t>
  </si>
  <si>
    <t>Ryzen 5 8500G</t>
  </si>
  <si>
    <t>Core i7-14700F</t>
  </si>
  <si>
    <t>Ryzen 7 5700</t>
  </si>
  <si>
    <t>Ryzen 5 5600GT</t>
  </si>
  <si>
    <t>i5-14600KF</t>
  </si>
  <si>
    <t>Ryzen 7 5700X3D</t>
  </si>
  <si>
    <t>Core i3-14100</t>
  </si>
  <si>
    <t>Core i9-14900F</t>
  </si>
  <si>
    <t>Chipset</t>
  </si>
  <si>
    <t>Formato</t>
  </si>
  <si>
    <t>Soporte RAM</t>
  </si>
  <si>
    <t>M.2 Slots</t>
  </si>
  <si>
    <t>Conector CPU (Poder)</t>
  </si>
  <si>
    <t>LGA 1700 (DDR4)</t>
  </si>
  <si>
    <t>Gigabyte</t>
  </si>
  <si>
    <t>B760</t>
  </si>
  <si>
    <t>Micro-ATX</t>
  </si>
  <si>
    <t>1x 8-pin</t>
  </si>
  <si>
    <t>1x 8+4 pin</t>
  </si>
  <si>
    <t>ASUS</t>
  </si>
  <si>
    <t>H610</t>
  </si>
  <si>
    <t>ATX</t>
  </si>
  <si>
    <t>LGA 1700 (DDR5)</t>
  </si>
  <si>
    <t>Z790</t>
  </si>
  <si>
    <t>2x 8-pin</t>
  </si>
  <si>
    <t>Mini-ITX</t>
  </si>
  <si>
    <t>La placa Mini-ITX (compacta) más popular para LGA 1700.</t>
  </si>
  <si>
    <t>Bajo</t>
  </si>
  <si>
    <t>AM4 (DDR4)</t>
  </si>
  <si>
    <t>B550</t>
  </si>
  <si>
    <t>A520</t>
  </si>
  <si>
    <t>La placa ATX B550 más vendida y popular.</t>
  </si>
  <si>
    <t>La placa Mini-ITX (compacta) más popular para AM4.</t>
  </si>
  <si>
    <t>AM5 (DDR5)</t>
  </si>
  <si>
    <t>B650</t>
  </si>
  <si>
    <t>La placa AM5 más vendida en México. El "sweet spot" para Ryzen 7000.</t>
  </si>
  <si>
    <t>A620</t>
  </si>
  <si>
    <t>B650E</t>
  </si>
  <si>
    <t>La placa Mini-ITX (compacta) más popular para AM5.</t>
  </si>
  <si>
    <t>X670E</t>
  </si>
  <si>
    <t>La placa X670E (entusiasta) más "económica" y popular.</t>
  </si>
  <si>
    <t>Puertos SATA</t>
  </si>
  <si>
    <t>PCIe x16 Primario</t>
  </si>
  <si>
    <t>PCIe x16 Totales</t>
  </si>
  <si>
    <t>Headers Fans (SYS_FAN)</t>
  </si>
  <si>
    <t>Headers ARGB (3-pin 5V)</t>
  </si>
  <si>
    <t>Headers RGB (4-pin 12V)</t>
  </si>
  <si>
    <t>Justificación</t>
  </si>
  <si>
    <t>Gigabyte B760M DS3H DDR4</t>
  </si>
  <si>
    <t>PCIe 4.0</t>
  </si>
  <si>
    <t>El estándar de facto para builds i5-12400F / 13400F.</t>
  </si>
  <si>
    <t>MSI PRO B760M-A WIFI DDR4</t>
  </si>
  <si>
    <t>Muy popular por incluir WiFi y mejores VRM.</t>
  </si>
  <si>
    <t>ASUS PRIME B760M-A WIFI D4</t>
  </si>
  <si>
    <t>La opción B760 DDR4 de ASUS más vendida.</t>
  </si>
  <si>
    <t>Gigabyte H610M H V2</t>
  </si>
  <si>
    <t>PCIe 3.0</t>
  </si>
  <si>
    <t>ASUS TUF B760-PLUS WIFI D4</t>
  </si>
  <si>
    <t>La placa ATX (tamaño completo) DDR4 más popular.</t>
  </si>
  <si>
    <t>Gigabyte Z790 AORUS ELITE AX</t>
  </si>
  <si>
    <t>PCIe 5.0</t>
  </si>
  <si>
    <t>La Z790 (para OC) más vendida por su balance costo-beneficio.</t>
  </si>
  <si>
    <t>MSI PRO Z790-P WIFI</t>
  </si>
  <si>
    <t>La Z790 "de entrada" más popular para i5/i7 "K".</t>
  </si>
  <si>
    <t>Gigabyte B760M DS3H AX DDR5</t>
  </si>
  <si>
    <t>La B760 DDR5 (mATX) más económica y popular.</t>
  </si>
  <si>
    <t>ASUS TUF B760M-PLUS WIFI D5</t>
  </si>
  <si>
    <t>La opción "premium" mATX DDR5 más popular.</t>
  </si>
  <si>
    <t>Gigabyte B760 GAMING X AX</t>
  </si>
  <si>
    <t>La placa ATX B760 (DDR5) más popular.</t>
  </si>
  <si>
    <t>MSI B760 GAMING PLUS WIFI</t>
  </si>
  <si>
    <t>Fuerte rival ATX B760 DDR5 para la Gigabyte.</t>
  </si>
  <si>
    <t>ASUS PRIME Z790-P WIFI</t>
  </si>
  <si>
    <t>Alternativa popular a la MSI PRO Z790-P.</t>
  </si>
  <si>
    <t>ASUS ROG STRIX B760-I GAMING</t>
  </si>
  <si>
    <t>MSI MPG Z790 EDGE WIFI</t>
  </si>
  <si>
    <t>Placa Z790 de gama alta (blanca) popular por su estética.</t>
  </si>
  <si>
    <t>Gigabyte Z790 UD AC</t>
  </si>
  <si>
    <t>Opción Z790 de "valor", la más barata para OC.</t>
  </si>
  <si>
    <t>MSI B550M PRO-VDH WIFI</t>
  </si>
  <si>
    <t>"Best-seller" histórico. Constantemente en el Top 3 de AM4.</t>
  </si>
  <si>
    <t>Gigabyte B550M DS3H (AC)</t>
  </si>
  <si>
    <t>El #1 o #2 en ventas de B550. Opción de entrada B550 popular.</t>
  </si>
  <si>
    <t>ASUS TUF B550M-PLUS WIFI II</t>
  </si>
  <si>
    <t>La B550 mATX "premium" más vendida (para 5700X / 5800X3D).</t>
  </si>
  <si>
    <t>Gigabyte A520M K V2</t>
  </si>
  <si>
    <t>ASUS PRIME A520M-K</t>
  </si>
  <si>
    <t>ASUS TUF B550-PLUS WIFI II</t>
  </si>
  <si>
    <t>Gigabyte B550 AORUS ELITE (AX V2)</t>
  </si>
  <si>
    <t>Principal alternativa ATX a la ASUS TUF.</t>
  </si>
  <si>
    <t>ASRock B550M PG Riptide</t>
  </si>
  <si>
    <t>Alternativa popular a las B550 de MSI/Gigabyte.</t>
  </si>
  <si>
    <t>Gigabyte B550I AORUS PRO AX</t>
  </si>
  <si>
    <t>ASUS TUF B650M-PLUS WIFI</t>
  </si>
  <si>
    <t>Gigabyte B650M DS3H</t>
  </si>
  <si>
    <t>La B650 mATX más económica. Su precio la hace muy popular.</t>
  </si>
  <si>
    <t>Gigabyte A620M GAMING X (o K)</t>
  </si>
  <si>
    <t>La placa AM5 más vendida por precio. Puerta de entrada a AM5.</t>
  </si>
  <si>
    <t>Gigabyte B650 GAMING X AX</t>
  </si>
  <si>
    <t>La placa ATX B650 más vendida (costo-beneficio).</t>
  </si>
  <si>
    <t>MSI B650 GAMING PLUS WIFI</t>
  </si>
  <si>
    <t>"Best-seller" de MSI que compite con la Gigabyte B650 GAMING X.</t>
  </si>
  <si>
    <t>ASUS TUF B650-PLUS WIFI</t>
  </si>
  <si>
    <t>La versión ATX de la placa AM5 más vendida.</t>
  </si>
  <si>
    <t>MSI PRO B650M-A WIFI</t>
  </si>
  <si>
    <t>Fuerte competidor de la ASUS TUF B650M.</t>
  </si>
  <si>
    <t>ASRock A620M-HDV/M.2+</t>
  </si>
  <si>
    <t>Fuerte competidor de la Gigabyte A620. Popular por precio.</t>
  </si>
  <si>
    <t>ASUS ROG STRIX B650E-F WIFI</t>
  </si>
  <si>
    <t>La placa B650E (gama alta) más popular para entusiastas (7800X3D).</t>
  </si>
  <si>
    <t>ASUS PRIME B650-PLUS</t>
  </si>
  <si>
    <t>La opción ATX B650 de "entrada" de ASUS.</t>
  </si>
  <si>
    <t>ASRock B650 PG Lightning</t>
  </si>
  <si>
    <t>Conocida como la ATX B650 más barata.</t>
  </si>
  <si>
    <t>ASUS ROG STRIX B650E-I WIFI</t>
  </si>
  <si>
    <t>ASUS TUF X670E-PLUS WIFI</t>
  </si>
  <si>
    <t>VRAM (GB)</t>
  </si>
  <si>
    <t>Tipo VRAM</t>
  </si>
  <si>
    <t>Interfaz PCIe</t>
  </si>
  <si>
    <t>Consumo (TDP/TBP)</t>
  </si>
  <si>
    <t>Conectores de Poder</t>
  </si>
  <si>
    <t>Longitud (mm)</t>
  </si>
  <si>
    <t>Altura (Slots)</t>
  </si>
  <si>
    <t>N/A</t>
  </si>
  <si>
    <t>NVIDIA</t>
  </si>
  <si>
    <t>2 GB</t>
  </si>
  <si>
    <t>GDDR5</t>
  </si>
  <si>
    <t>PCIe 3.0 x4</t>
  </si>
  <si>
    <t>30 W</t>
  </si>
  <si>
    <t>No Requiere</t>
  </si>
  <si>
    <t>~ 150 mm</t>
  </si>
  <si>
    <t>Radeon RX 6400</t>
  </si>
  <si>
    <t>4 GB</t>
  </si>
  <si>
    <t>GDDR6</t>
  </si>
  <si>
    <t>PCIe 4.0 x4</t>
  </si>
  <si>
    <t>53 W</t>
  </si>
  <si>
    <t>~ 170 mm</t>
  </si>
  <si>
    <t>Radeon RX 6500 XT</t>
  </si>
  <si>
    <t>107 W</t>
  </si>
  <si>
    <t>1x 6-pin</t>
  </si>
  <si>
    <t>~ 190 mm</t>
  </si>
  <si>
    <t>GeForce GTX 1650</t>
  </si>
  <si>
    <t>PCIe 3.0 x16</t>
  </si>
  <si>
    <t>75 W</t>
  </si>
  <si>
    <t>Bajo (Usado)</t>
  </si>
  <si>
    <t>6 GB</t>
  </si>
  <si>
    <t>120 W</t>
  </si>
  <si>
    <t>~ 250 mm</t>
  </si>
  <si>
    <t>Medio (Usado)</t>
  </si>
  <si>
    <t>GeForce GTX 1660 SUPER</t>
  </si>
  <si>
    <t>125 W</t>
  </si>
  <si>
    <t>~ 200 mm</t>
  </si>
  <si>
    <t>Arc A580</t>
  </si>
  <si>
    <t>8 GB</t>
  </si>
  <si>
    <t>PCIe 4.0 x16</t>
  </si>
  <si>
    <t>175 W</t>
  </si>
  <si>
    <t>~ 230 mm</t>
  </si>
  <si>
    <t>Arc A750</t>
  </si>
  <si>
    <t>225 W</t>
  </si>
  <si>
    <t>~ 270 mm</t>
  </si>
  <si>
    <t>RTX 3050</t>
  </si>
  <si>
    <t>PCIe 4.0 x8</t>
  </si>
  <si>
    <t>130 W</t>
  </si>
  <si>
    <t>~ 220 mm</t>
  </si>
  <si>
    <t>Radeon RX 6600</t>
  </si>
  <si>
    <t>132 W</t>
  </si>
  <si>
    <t>Radeon RX 6650 XT</t>
  </si>
  <si>
    <t>180 W</t>
  </si>
  <si>
    <t>~ 240 mm</t>
  </si>
  <si>
    <t>RTX 3060</t>
  </si>
  <si>
    <t>12 GB</t>
  </si>
  <si>
    <t>170 W</t>
  </si>
  <si>
    <t>Radeon RX 7600</t>
  </si>
  <si>
    <t>165 W</t>
  </si>
  <si>
    <t>RTX 4060</t>
  </si>
  <si>
    <t>115 W</t>
  </si>
  <si>
    <t>RTX 4060 Ti</t>
  </si>
  <si>
    <t>GDDR6X</t>
  </si>
  <si>
    <t>160 W</t>
  </si>
  <si>
    <t>Bajo (Nicho)</t>
  </si>
  <si>
    <t>16 GB</t>
  </si>
  <si>
    <t>~ 260 mm</t>
  </si>
  <si>
    <t>Radeon RX 6700 XT</t>
  </si>
  <si>
    <t>230 W</t>
  </si>
  <si>
    <t>Radeon RX 7700 XT</t>
  </si>
  <si>
    <t>245 W</t>
  </si>
  <si>
    <t>Medio (Nicho)</t>
  </si>
  <si>
    <t>Arc A770</t>
  </si>
  <si>
    <t>~ 280 mm</t>
  </si>
  <si>
    <t>RTX 4070 SUPER</t>
  </si>
  <si>
    <t>220 W</t>
  </si>
  <si>
    <t>Radeon RX 7800 XT</t>
  </si>
  <si>
    <t>263 W</t>
  </si>
  <si>
    <t>Radeon RX 7900 GRE</t>
  </si>
  <si>
    <t>260 W</t>
  </si>
  <si>
    <t>RTX 4070 Ti SUPER</t>
  </si>
  <si>
    <t>285 W</t>
  </si>
  <si>
    <t>~ 310 mm</t>
  </si>
  <si>
    <t>Radeon RX 7900 XT</t>
  </si>
  <si>
    <t>20 GB</t>
  </si>
  <si>
    <t>315 W</t>
  </si>
  <si>
    <t>~ 300 mm</t>
  </si>
  <si>
    <t>RTX 4080 SUPER</t>
  </si>
  <si>
    <t>320 W</t>
  </si>
  <si>
    <t>~ 330 mm</t>
  </si>
  <si>
    <t>Radeon RX 7900 XTX</t>
  </si>
  <si>
    <t>24 GB</t>
  </si>
  <si>
    <t>355 W</t>
  </si>
  <si>
    <t>~ 320 mm</t>
  </si>
  <si>
    <t>RTX 4090</t>
  </si>
  <si>
    <t>450 W</t>
  </si>
  <si>
    <t>~ 340 mm</t>
  </si>
  <si>
    <t>GDDR5X</t>
  </si>
  <si>
    <t>Bajo (Reman.)</t>
  </si>
  <si>
    <t>RTX 3060 Ti</t>
  </si>
  <si>
    <t>200 W</t>
  </si>
  <si>
    <t>RTX 3070</t>
  </si>
  <si>
    <t>RTX 3080</t>
  </si>
  <si>
    <t>10 GB</t>
  </si>
  <si>
    <t>Medio (Reman.)</t>
  </si>
  <si>
    <t>Radeon RX 6800</t>
  </si>
  <si>
    <t>250 W</t>
  </si>
  <si>
    <t>Chipset (GPU)</t>
  </si>
  <si>
    <t>N/A (CPU)</t>
  </si>
  <si>
    <t>XFX SWFT 105 (LP)</t>
  </si>
  <si>
    <t>ASRock Challenger</t>
  </si>
  <si>
    <t>Marca (Ensamblador)</t>
  </si>
  <si>
    <t>Modelo Específico (SKU)</t>
  </si>
  <si>
    <t>Opción Base $0 para CPUs con iGPU.</t>
  </si>
  <si>
    <t>Passive Silent</t>
  </si>
  <si>
    <t>NVIDIA GT 1030</t>
  </si>
  <si>
    <t>La GT 1030 más barata, enfriamiento pasivo. Solo para video.</t>
  </si>
  <si>
    <t>Phoenix Fan</t>
  </si>
  <si>
    <t>~ 180 mm</t>
  </si>
  <si>
    <t>GT 1030 con ventilador, un poco mejor para tareas ligeras.</t>
  </si>
  <si>
    <t>Varios</t>
  </si>
  <si>
    <t>Ensambles 2 Fans</t>
  </si>
  <si>
    <t>NVIDIA GTX 1060</t>
  </si>
  <si>
    <t>(Usado) Ícono 1080p, muy popular en mercado de usados.</t>
  </si>
  <si>
    <t>Ensambles 2-3 Fans</t>
  </si>
  <si>
    <t>NVIDIA GTX 1080</t>
  </si>
  <si>
    <t>(Usado) Gama alta de su gen, aún buscada, supera a 1660S.</t>
  </si>
  <si>
    <t>Opción de perfil bajo (LP) para SFF/Oficina.</t>
  </si>
  <si>
    <t>Gigabyte Eagle</t>
  </si>
  <si>
    <t>Zotac / PNY (1 Fan)</t>
  </si>
  <si>
    <t>(Remanente) Popular para PCs sin conector PCIe extra.</t>
  </si>
  <si>
    <t>Zotac / Ventus</t>
  </si>
  <si>
    <t>Twin Fan</t>
  </si>
  <si>
    <t>(Usado/Remanente) Muy buscada, excelente valor 1080p.</t>
  </si>
  <si>
    <t>Opción de valor Intel, compite con 3050/1660S.</t>
  </si>
  <si>
    <t>Intel Limited Edition</t>
  </si>
  <si>
    <t>1x 8+6 pin</t>
  </si>
  <si>
    <t>"Valor extremo" 1080p. Muy popular por precio/rendimiento.</t>
  </si>
  <si>
    <t>Gigabyte Eagle / Zotac Twin</t>
  </si>
  <si>
    <t>Gama de entrada NVIDIA (RT). Sigue vendiendo bien.</t>
  </si>
  <si>
    <t>XFX SWFT 210</t>
  </si>
  <si>
    <t>Rey costo-beneficio 1080p (gen pasada). Ventas masivas.</t>
  </si>
  <si>
    <t>PowerColor Fighter</t>
  </si>
  <si>
    <t>Alternativa popular al XFX RX 6600, a veces más barata.</t>
  </si>
  <si>
    <t>MSI Mech 2X</t>
  </si>
  <si>
    <t>Versión más rápida de RX 6600. Muy popular por precio agresivo.</t>
  </si>
  <si>
    <t>Zotac Twin Edge</t>
  </si>
  <si>
    <t>~ 225 mm</t>
  </si>
  <si>
    <t>Superventas por 12GB VRAM (IA, futuro 1080p). Modelo Zotac es el más común.</t>
  </si>
  <si>
    <t>MSI Ventus 2X OC</t>
  </si>
  <si>
    <t>~ 235 mm</t>
  </si>
  <si>
    <t>Alternativa popular al Zotac RTX 3060.</t>
  </si>
  <si>
    <t>Gigabyte OC</t>
  </si>
  <si>
    <t>Competidor directo de RTX 4060. Popular por precio/rendimiento.</t>
  </si>
  <si>
    <t>Zotac Twin Edge OC</t>
  </si>
  <si>
    <t>Nuevo superventas 1080p NVIDIA. Modelo Zotac es el más vendido.</t>
  </si>
  <si>
    <t>ASUS Dual OC</t>
  </si>
  <si>
    <t>Alternativa popular al Zotac RTX 4060.</t>
  </si>
  <si>
    <t>XFX QICK 308</t>
  </si>
  <si>
    <t>Muy popular por 12GB VRAM y rendimiento 1440p a precio de gama media.</t>
  </si>
  <si>
    <t>Competidor de 4060 Ti, popular por 12GB VRAM.</t>
  </si>
  <si>
    <t>ASRock Phantom Gaming</t>
  </si>
  <si>
    <t>Popularidad creciente por 16GB VRAM, compite con RTX 3060.</t>
  </si>
  <si>
    <t>"Reina" 1440p costo-beneficio. Sweet spot AMD más vendido.</t>
  </si>
  <si>
    <t>Sapphire Pulse</t>
  </si>
  <si>
    <t>Alternativa popular al PowerColor RX 7800 XT.</t>
  </si>
  <si>
    <t>PowerColor Hellhound</t>
  </si>
  <si>
    <t>Nicho popular. Rendimiento entre 7800 XT y 7900 XT.</t>
  </si>
  <si>
    <t>XFX SWFT 319 / PowerColor</t>
  </si>
  <si>
    <t>(Remanente) Muy buscada por 16GB VRAM, compite con 7700 XT.</t>
  </si>
  <si>
    <t>XFX MERC 310</t>
  </si>
  <si>
    <t>Gama alta AMD. Popular por VRAM masiva vs 4080S.</t>
  </si>
  <si>
    <t>Tope de gama AMD. Alternativa a 4080S con 24GB VRAM.</t>
  </si>
  <si>
    <t>MSI Ventus 2X / ASUS Dual</t>
  </si>
  <si>
    <t>(Remanente) Buscada, aunque 4060 Ti la reemplaza.</t>
  </si>
  <si>
    <t>MSI Ventus / ASUS TUF</t>
  </si>
  <si>
    <t>1x 12pin (o 2x8)</t>
  </si>
  <si>
    <t>(Remanente) Muy buscada, aunque 4070 la reemplaza.</t>
  </si>
  <si>
    <t>Gama media-alta 1080p NVIDIA. Muy popular.</t>
  </si>
  <si>
    <t>Gigabyte Windforce OC</t>
  </si>
  <si>
    <t>Nicho. Impopular gaming, SÍ se vende para IA/productividad.</t>
  </si>
  <si>
    <t>Zotac Trinity OC White</t>
  </si>
  <si>
    <t>1x 12VHPWR</t>
  </si>
  <si>
    <t>Nuevo sweet spot 1440p NVIDIA. Ventas fuertes.</t>
  </si>
  <si>
    <t>Alternativa popular al Zotac 4070 Super.</t>
  </si>
  <si>
    <t>ASUS TUF Gaming OC</t>
  </si>
  <si>
    <t>Gama alta 1440p / entrada 4K NVIDIA. Popular.</t>
  </si>
  <si>
    <t>Gigabyte Gaming OC</t>
  </si>
  <si>
    <t>Alternativa popular al ASUS TUF 4070 Ti Super.</t>
  </si>
  <si>
    <t>Gama alta 4K NVIDIA. Ventas consistentes.</t>
  </si>
  <si>
    <t>Rey absoluto rendimiento. Nicho, pero consistente.</t>
  </si>
  <si>
    <t>Alternativa popular al ASUS TUF 4090.</t>
  </si>
  <si>
    <t>(Remanente/Usado) Ícono buscado en mercado secundario.</t>
  </si>
  <si>
    <t>ASUS TUF Gaming</t>
  </si>
  <si>
    <t>Alternativa popular (remanente/usado) al Gigabyte 3080.</t>
  </si>
  <si>
    <t>La placa H610 más vendida. Base para el i3-12100F. Límite PCIe 3.0.</t>
  </si>
  <si>
    <t>La placa A520 más vendida. Base para el 5600G. Límite PCIe 3.0.</t>
  </si>
  <si>
    <t>Competidor directo del A520 de Gigabyte. Ventas altas. Límite PCIe 3.0.</t>
  </si>
  <si>
    <t>Gama de entrada AMD. Límite PCIe x4 severo.</t>
  </si>
  <si>
    <t>Capacidad</t>
  </si>
  <si>
    <t>Vel. Lectura (MB/s)</t>
  </si>
  <si>
    <t>Vel. Escritura (MB/s)</t>
  </si>
  <si>
    <t>Interfaz</t>
  </si>
  <si>
    <t>Justificación Específica (Fuente/Ranking/Perfil)</t>
  </si>
  <si>
    <t>HDD SATA 3.5" (Escritorio)</t>
  </si>
  <si>
    <t>Seagate</t>
  </si>
  <si>
    <t>Barracuda</t>
  </si>
  <si>
    <t>HDD 3.5"</t>
  </si>
  <si>
    <t>1 TB</t>
  </si>
  <si>
    <t>~ 150</t>
  </si>
  <si>
    <t>SATA III</t>
  </si>
  <si>
    <t>#1 HDD Más Vendido en ML/Amazon. Estándar económico (Admin/Estudiante).</t>
  </si>
  <si>
    <t>2 TB</t>
  </si>
  <si>
    <t>~ 180</t>
  </si>
  <si>
    <t>#2 HDD Más Vendido en ML/Amazon. Mejor costo/GB (Estudiante/Desarrollador).</t>
  </si>
  <si>
    <t>Western Digital</t>
  </si>
  <si>
    <t>WD Blue</t>
  </si>
  <si>
    <t>Top 5 HDD Amazon/ML. Alternativa popular (Admin/Estudiante).</t>
  </si>
  <si>
    <t>Top 10 HDD Amazon/ML. Alternativa popular 2TB (Estudiante/Desarrollador).</t>
  </si>
  <si>
    <t>4 TB</t>
  </si>
  <si>
    <t>~ 190</t>
  </si>
  <si>
    <t>Opción 4TB más popular. Relevante para Micro-empresa.</t>
  </si>
  <si>
    <t>Alternativa popular al Barracuda 4TB (Micro-empresa).</t>
  </si>
  <si>
    <t>HDD SATA 3.5" (NAS)</t>
  </si>
  <si>
    <t>IronWolf</t>
  </si>
  <si>
    <t>HDD para NAS más popular en 4TB. Perfil: Micro-empresa. Fiabilidad 24/7.</t>
  </si>
  <si>
    <t>8 TB</t>
  </si>
  <si>
    <t>~ 210</t>
  </si>
  <si>
    <t>Opción NAS de alta capacidad, relevante para Micro-empresa. Fiabilidad 24/7.</t>
  </si>
  <si>
    <t>WD Red Plus</t>
  </si>
  <si>
    <t>~ 175</t>
  </si>
  <si>
    <t>Principal competidor del IronWolf 4TB (Micro-empresa). Fiabilidad 24/7.</t>
  </si>
  <si>
    <t>SSD SATA 2.5"</t>
  </si>
  <si>
    <t>A400</t>
  </si>
  <si>
    <t>SSD 2.5"</t>
  </si>
  <si>
    <t>480 GB</t>
  </si>
  <si>
    <t>#1 SSD SATA Más Vendido ML/Amazon. Opción entrada #1 (Admin/Estudiante).</t>
  </si>
  <si>
    <t>960 GB</t>
  </si>
  <si>
    <t>Top 3 SSD SATA ML/Amazon. Mejor valor ~1TB SATA (Estudiante).</t>
  </si>
  <si>
    <t>BX500</t>
  </si>
  <si>
    <t>Top 5 SSD SATA Amazon/ML. Competidor A400 480GB (Admin/Estudiante).</t>
  </si>
  <si>
    <t>Top 10 SSD SATA Amazon/ML. Competidor A400 ~1TB (Estudiante).</t>
  </si>
  <si>
    <t>Adata</t>
  </si>
  <si>
    <t>SU650</t>
  </si>
  <si>
    <t>Frecuente Top 10 ML por ser la opción SATA más barata (Admin).</t>
  </si>
  <si>
    <t>WD Blue SA510</t>
  </si>
  <si>
    <t>Popular en Cyberpuerta/DDTech como opción SATA de marca (Estudiante).</t>
  </si>
  <si>
    <t>Samsung</t>
  </si>
  <si>
    <t>870 EVO</t>
  </si>
  <si>
    <t>Listado como el mejor SSD SATA (rendimiento/fiabilidad). (Estudiante/Desarrollador).</t>
  </si>
  <si>
    <t>M.2 NVMe PCIe 3.0 (Valor)</t>
  </si>
  <si>
    <t>NV1/NV (Older Budget)</t>
  </si>
  <si>
    <t>M.2 NVMe</t>
  </si>
  <si>
    <t>~2100</t>
  </si>
  <si>
    <t>~1700</t>
  </si>
  <si>
    <t>Frecuentemente el NVMe 1TB más barato en ML. Valor extremo (Estudiante).</t>
  </si>
  <si>
    <t>P3</t>
  </si>
  <si>
    <t>#1 NVMe PCIe 3.0 Más Vendido en Amazon. Excelente valor (Estudiante).</t>
  </si>
  <si>
    <t>WD Blue SN570</t>
  </si>
  <si>
    <t>Top 3 NVMe PCIe 3.0 ML/Amazon. Popular por marca WD Blue (Estudiante).</t>
  </si>
  <si>
    <t>LEGEND 710</t>
  </si>
  <si>
    <t>Opción PCIe 3.0 de valor ADATA, visible en ML/Cyberpuerta (Estudiante).</t>
  </si>
  <si>
    <t>MP33</t>
  </si>
  <si>
    <t>Alternativa de valor extremo PCIe 3.0, muy popular en Amazon por precio (Admin/Estudiante).</t>
  </si>
  <si>
    <t>Silicon Power</t>
  </si>
  <si>
    <t>A60</t>
  </si>
  <si>
    <t>Otra opción PCIe 3.0 de valor con presencia en Amazon (Admin/Estudiante).</t>
  </si>
  <si>
    <t>M.2 NVMe PCIe 3.0 (Medio)</t>
  </si>
  <si>
    <t>970 EVO Plus</t>
  </si>
  <si>
    <t>Consistentemente en listas de popularidad como el mejor PCIe 3.0 (Estudiante/Desarrollador).</t>
  </si>
  <si>
    <t>MP34</t>
  </si>
  <si>
    <t>Opción PCIe 3.0 con DRAM (mejor rendimiento sostenido), popular en Amazon (Estudiante/Desarrollador).</t>
  </si>
  <si>
    <t>Acer</t>
  </si>
  <si>
    <t>FA100</t>
  </si>
  <si>
    <t>Opción PCIe 3.0 de Acer, visible en ML, buena relación vel./precio (Estudiante).</t>
  </si>
  <si>
    <t>Versión 2TB del FA100, alternativa económica (Desarrollador).</t>
  </si>
  <si>
    <t>FA200</t>
  </si>
  <si>
    <t>Similar al FA100 pero listado frecuentemente. Buena opción valor PCIe 3.0 (Estudiante).</t>
  </si>
  <si>
    <t>Versión 2TB del FA200. Alternativa económica PCIe 3.0 (Desarrollador).</t>
  </si>
  <si>
    <t>M.2 NVMe PCIe 4.0 (Valor/Entrada)</t>
  </si>
  <si>
    <t>NV2</t>
  </si>
  <si>
    <t>#1 NVMe Más Vendido ML/Amazon. El PCIe 4.0 más barato y popular (Estudiante).</t>
  </si>
  <si>
    <t>Opción NVMe 2TB más vendida ML/Amazon. Valor extremo (Desarrollador/Micro-empresa).</t>
  </si>
  <si>
    <t>P3 Plus</t>
  </si>
  <si>
    <t>Top 5 NVMe Amazon. Excelente PCIe 4.0 valor, supera NV2 (Estudiante/Desarrollador).</t>
  </si>
  <si>
    <t>Top 10 NVMe 2TB Amazon. Excelente PCIe 4.0 valor 2TB (Desarrollador/Micro-empresa).</t>
  </si>
  <si>
    <t>MP44L</t>
  </si>
  <si>
    <t>Alternativa PCIe 4.0 valor (sin DRAM), popular Amazon/DDTech (Estudiante/Desarrollador).</t>
  </si>
  <si>
    <t>Versión 2TB del MP44L. Opción económica 2TB PCIe 4.0.</t>
  </si>
  <si>
    <t>M.2 NVMe PCIe 4.0 (Medio)</t>
  </si>
  <si>
    <t>WD Blue SN580</t>
  </si>
  <si>
    <t>Top 10 NVMe Amazon y popular Cyberpuerta/DDTech. Evolución SN570 (Estudiante/Desarrollador).</t>
  </si>
  <si>
    <t>Opción balanceada PCIe 4.0 2TB WD (Desarrollador/Micro-empresa).</t>
  </si>
  <si>
    <t>LEGEND 850</t>
  </si>
  <si>
    <t>Opción PCIe 4.0 gama media ADATA, popular ML/Cyberpuerta (Desarrollador).</t>
  </si>
  <si>
    <t>Versión 2TB del LEGEND 850 (Desarrollador/Micro-empresa).</t>
  </si>
  <si>
    <t>M.2 NVMe PCIe 4.0 (Alto Rendimiento)</t>
  </si>
  <si>
    <t>P5 Plus</t>
  </si>
  <si>
    <t>Opción media-alta Crucial, popular por balance (Top 15 Amazon) (Desarrollador).</t>
  </si>
  <si>
    <t>KC3000</t>
  </si>
  <si>
    <t>Top 10 Amazon y popularidad (Cyberpuerta/DDTech). Mejor PCIe 4.0 rendimiento/precio (Desarrollador).</t>
  </si>
  <si>
    <t>Popular en listas como opción 2TB alto rendimiento/precio (Desarrollador/Micro-empresa).</t>
  </si>
  <si>
    <t>WD Black SN850X</t>
  </si>
  <si>
    <t>Top 5 NVMe gama alta Amazon, #1 popularidad. Estándar gaming/pro (Desarrollador).</t>
  </si>
  <si>
    <t>Opción 2TB SN850X, muy popular gama alta (Desarrollador/Micro-empresa).</t>
  </si>
  <si>
    <t>980 Pro</t>
  </si>
  <si>
    <t>Sigue Top 10 ML/Amazon por marca Samsung y ofertas (Desarrollador).</t>
  </si>
  <si>
    <t>Versión 2TB 980 Pro, popular ML por ofertas (Desarrollador/Micro-empresa).</t>
  </si>
  <si>
    <t>990 Pro</t>
  </si>
  <si>
    <t>#1/#2 NVMe PCIe 4.0 más rápido Amazon/popularidad. Rey PCIe 4.0 (Desarrollador/Entusiasta).</t>
  </si>
  <si>
    <t>Versión 2TB 990 Pro. Presente listas gama alta (Desarrollador/Micro-empresa).</t>
  </si>
  <si>
    <t>FireCuda 530</t>
  </si>
  <si>
    <t>Opción PCIe 4.0 alto rendimiento Seagate, popular listas entusiastas (Desarrollador).</t>
  </si>
  <si>
    <t>Predator GM7000</t>
  </si>
  <si>
    <t>Opción PCIe 4.0 alto rendimiento Acer, visible ML/Cyberpuerta (Desarrollador).</t>
  </si>
  <si>
    <t>Fury Renegade</t>
  </si>
  <si>
    <t>Opción tope de gama PCIe 4.0 Kingston, compite con KC3000/SN850X (Desarrollador).</t>
  </si>
  <si>
    <t>Versión 2TB del Fury Renegade (Desarrollador/Micro-empresa).</t>
  </si>
  <si>
    <t>LEGEND 960 MAX</t>
  </si>
  <si>
    <t>Opción PCIe 4.0 alto rendimiento ADATA (con disipador), visible Cyberpuerta/ML (Desarrollador).</t>
  </si>
  <si>
    <t>M.2 NVMe PCIe 5.0</t>
  </si>
  <si>
    <t>T700</t>
  </si>
  <si>
    <t>PCIe 5.0 x4</t>
  </si>
  <si>
    <t>El PCIe 5.0 más visible y vendido (nicho bajo). Representa opción entusiasta actual.</t>
  </si>
  <si>
    <t>Versión 2TB T700. Presente segmento entusiasta.</t>
  </si>
  <si>
    <t>FireCuda 540</t>
  </si>
  <si>
    <t>Alternativa PCIe 5.0 de Seagate, visible en segmento entusiasta.</t>
  </si>
  <si>
    <t>AORUS Gen5 10000</t>
  </si>
  <si>
    <t>Alternativa PCIe 5.0 de Gigabyte, visible en segmento entusiasta.</t>
  </si>
  <si>
    <t>Ventilador Incluido</t>
  </si>
  <si>
    <r>
      <t>Sí</t>
    </r>
    <r>
      <rPr>
        <sz val="11"/>
        <color rgb="FF1B1C1D"/>
        <rFont val="Arial"/>
        <family val="2"/>
      </rPr>
      <t xml:space="preserve"> (Wraith Stealth)</t>
    </r>
  </si>
  <si>
    <r>
      <t>Sí</t>
    </r>
    <r>
      <rPr>
        <sz val="11"/>
        <color rgb="FF1B1C1D"/>
        <rFont val="Arial"/>
        <family val="2"/>
      </rPr>
      <t xml:space="preserve"> (Laminar RM1)</t>
    </r>
  </si>
  <si>
    <r>
      <t>Sí</t>
    </r>
    <r>
      <rPr>
        <sz val="11"/>
        <color rgb="FF1B1C1D"/>
        <rFont val="Arial"/>
        <family val="2"/>
      </rPr>
      <t xml:space="preserve"> (Laminar RS1)</t>
    </r>
  </si>
  <si>
    <r>
      <t>Sí</t>
    </r>
    <r>
      <rPr>
        <sz val="11"/>
        <color rgb="FF1B1C1D"/>
        <rFont val="Arial"/>
        <family val="2"/>
      </rPr>
      <t xml:space="preserve"> (Wraith Spire)</t>
    </r>
  </si>
  <si>
    <r>
      <t>Sí</t>
    </r>
    <r>
      <rPr>
        <sz val="11"/>
        <color rgb="FF1B1C1D"/>
        <rFont val="Arial"/>
        <family val="2"/>
      </rPr>
      <t xml:space="preserve"> (Wraith Prism)</t>
    </r>
  </si>
  <si>
    <r>
      <t>Sí</t>
    </r>
    <r>
      <rPr>
        <sz val="11"/>
        <color rgb="FF1B1C1D"/>
        <rFont val="Arial"/>
        <family val="2"/>
      </rPr>
      <t xml:space="preserve"> (Laminar RH1)</t>
    </r>
  </si>
  <si>
    <t>4.3 / 5.0 GHz</t>
  </si>
  <si>
    <t>Sí (Radeon 760M)</t>
  </si>
  <si>
    <t>Ryzen 5 8600G</t>
  </si>
  <si>
    <t>Sí (Wraith Stealth)</t>
  </si>
  <si>
    <t>APU AM5 6 núcleos popular. Sucesor del 5600G en nueva plataforma. Visible en listas.</t>
  </si>
  <si>
    <t>Compatibilidad Socket</t>
  </si>
  <si>
    <t>TDP Máx. (Aprox W)</t>
  </si>
  <si>
    <t>Tamaño Fan(s) (mm) / Rad (mm)</t>
  </si>
  <si>
    <t>RGB</t>
  </si>
  <si>
    <t>Cooler de Stock</t>
  </si>
  <si>
    <t>Aire Stock</t>
  </si>
  <si>
    <t>AM4/AM5/LGA1700</t>
  </si>
  <si>
    <t>~65-105W</t>
  </si>
  <si>
    <t>92mm</t>
  </si>
  <si>
    <r>
      <t>Opción Base.</t>
    </r>
    <r>
      <rPr>
        <sz val="11"/>
        <color rgb="FF1B1C1D"/>
        <rFont val="Arial"/>
        <family val="2"/>
      </rPr>
      <t xml:space="preserve"> Si el CPU lo incluye. Costo $0. (Admin/Estudiante).</t>
    </r>
  </si>
  <si>
    <t>Aire - Torre Económica</t>
  </si>
  <si>
    <t>Deepcool</t>
  </si>
  <si>
    <t>AG400 / Gammaxx 400</t>
  </si>
  <si>
    <t>Aire Torre</t>
  </si>
  <si>
    <t>~150W</t>
  </si>
  <si>
    <t>1x 120mm</t>
  </si>
  <si>
    <t>Opcional</t>
  </si>
  <si>
    <t>#1 Cooler económico Más Vendido Amazon/ML. Mejora básica sobre stock. (Estudiante).</t>
  </si>
  <si>
    <t>ID-Cooling</t>
  </si>
  <si>
    <t>SE-214-XT</t>
  </si>
  <si>
    <t>~180W</t>
  </si>
  <si>
    <t>ARGB</t>
  </si>
  <si>
    <t>Muy popular en ML por precio/rendimiento/ARGB. Fuerte competidor del AG400. (Estudiante).</t>
  </si>
  <si>
    <t>Cooler Master</t>
  </si>
  <si>
    <t>Hyper H410R / H411R</t>
  </si>
  <si>
    <t>~100W</t>
  </si>
  <si>
    <t>1x 92mm</t>
  </si>
  <si>
    <t>Opción muy barata de marca reconocida. Para CPUs bajo consumo "F". (Admin).</t>
  </si>
  <si>
    <t>Aire - Torre Gama Media</t>
  </si>
  <si>
    <t>Thermalright</t>
  </si>
  <si>
    <t>Peerless Assassin 120 SE</t>
  </si>
  <si>
    <t>Aire Torre (Doble)</t>
  </si>
  <si>
    <t>~265W</t>
  </si>
  <si>
    <t>2x 120mm</t>
  </si>
  <si>
    <t>ARGB Opc.</t>
  </si>
  <si>
    <t>Rey rendimiento/precio gama media. #1 popularidad entusiasta (Cyberpuerta/DDTech). (Desarrollador).</t>
  </si>
  <si>
    <t>AK400</t>
  </si>
  <si>
    <t>~220W</t>
  </si>
  <si>
    <t>Muy popular por estética y rendimiento sólido. Alt. si PA120SE no cabe. (Estudiante/Desarrollador).</t>
  </si>
  <si>
    <t>AK620</t>
  </si>
  <si>
    <t>~260W</t>
  </si>
  <si>
    <t>No (Zero Dark sí)</t>
  </si>
  <si>
    <t>Muy popular por alto rendimiento y estética limpia. Competidor PA120SE. (Desarrollador).</t>
  </si>
  <si>
    <t>Hyper 212 (Black/ARGB)</t>
  </si>
  <si>
    <t>Clásico. Superado en rendimiento/precio, pero popular por marca. (Estudiante).</t>
  </si>
  <si>
    <t>Phantom Spirit 120 SE</t>
  </si>
  <si>
    <t>~270W</t>
  </si>
  <si>
    <t>Versión mejorada PA120SE. Popular entusiastas max rendimiento/precio. (Desarrollador).</t>
  </si>
  <si>
    <t>Aire - Torre Gama Alta</t>
  </si>
  <si>
    <t>Noctua</t>
  </si>
  <si>
    <t>NH-D15 / NH-D15S</t>
  </si>
  <si>
    <t>~280W+</t>
  </si>
  <si>
    <t>2x 140mm</t>
  </si>
  <si>
    <t>Rey enfriamiento por aire (rendimiento/silencio). Nicho entusiasta. (Desarrollador Pro/Micro-empresa).</t>
  </si>
  <si>
    <t>Assassin IV</t>
  </si>
  <si>
    <t>~280W</t>
  </si>
  <si>
    <t>120+140mm</t>
  </si>
  <si>
    <t>Competidor NH-D15, popular por estética moderna. (Desarrollador Pro/Micro-empresa).</t>
  </si>
  <si>
    <t>Be Quiet!</t>
  </si>
  <si>
    <t>Dark Rock Pro 4 / 5</t>
  </si>
  <si>
    <t>~250W+</t>
  </si>
  <si>
    <t>120+135mm</t>
  </si>
  <si>
    <t>Alternativa popular NH-D15, enfocada en silencio. (Desarrollador Pro).</t>
  </si>
  <si>
    <t>Aire - Bajo Perfil</t>
  </si>
  <si>
    <t>NH-L9a (AMD) / L9i (Intel)</t>
  </si>
  <si>
    <t>Aire Bajo Perfil</t>
  </si>
  <si>
    <t>AM4/AM5 o LGA1700</t>
  </si>
  <si>
    <t>~95W</t>
  </si>
  <si>
    <t>Opción #1 para gabinetes SFF (Mini-ITX) muy delgados.</t>
  </si>
  <si>
    <t>AXP90-X47 / X53</t>
  </si>
  <si>
    <t>~125W</t>
  </si>
  <si>
    <t>Alternativa económica al Noctua L9 para SFF.</t>
  </si>
  <si>
    <t>Líquida - AIO 120mm</t>
  </si>
  <si>
    <t>MasterLiquid Lite 120 / ML120L</t>
  </si>
  <si>
    <t>AIO 120mm</t>
  </si>
  <si>
    <t>1x 120mm / Rad 120</t>
  </si>
  <si>
    <t>RGB/ARGB</t>
  </si>
  <si>
    <t>AIO 120mm más vendido. Opción líquida entrada/estética. (Estudiante).</t>
  </si>
  <si>
    <t>LE300 / Gammaxx L120</t>
  </si>
  <si>
    <t>Principal competidor CM ML120L. Popular en ML.</t>
  </si>
  <si>
    <t>Líquida - AIO 240mm</t>
  </si>
  <si>
    <t>MasterLiquid ML240L (V2) RGB/ARGB</t>
  </si>
  <si>
    <t>AIO 240mm</t>
  </si>
  <si>
    <t>~200W+</t>
  </si>
  <si>
    <t>2x 120mm / Rad 240</t>
  </si>
  <si>
    <t>AIO 240mm más vendido México. Excelente balance rend./precio/estética. (Estudiante/Desarrollador).</t>
  </si>
  <si>
    <t>LS520 SE / LE520</t>
  </si>
  <si>
    <t>~220W+</t>
  </si>
  <si>
    <t>Muy popular por rendimiento y estética limpia. Fuerte competidor ML240L. (Desarrollador).</t>
  </si>
  <si>
    <t>Frostflow X 240 / Zoomflow 240</t>
  </si>
  <si>
    <t>~200W</t>
  </si>
  <si>
    <t>Opción AIO 240mm valor extremo, muy popular ML.</t>
  </si>
  <si>
    <t>H100i Elite Capellix XT / RGB</t>
  </si>
  <si>
    <t>~250W</t>
  </si>
  <si>
    <t>Opción AIO 240mm "premium". Popular por marca Corsair/iCUE. (Desarrollador).</t>
  </si>
  <si>
    <t>NZXT</t>
  </si>
  <si>
    <t>Kraken 240 / Elite 240</t>
  </si>
  <si>
    <t>ARGB (LCD opc.)</t>
  </si>
  <si>
    <t>$3,000+</t>
  </si>
  <si>
    <t>Nicho entusiasta popular por pantalla LCD personalizable.</t>
  </si>
  <si>
    <t>Líquida - AIO 360mm</t>
  </si>
  <si>
    <t>LS720 SE / LT720</t>
  </si>
  <si>
    <t>AIO 360mm</t>
  </si>
  <si>
    <t>3x 120mm / Rad 360</t>
  </si>
  <si>
    <t>AIO 360mm más popular por excelente rendimiento/precio. (Desarrollador Pro/Micro-empresa).</t>
  </si>
  <si>
    <t>MasterLiquid 360L Core ARGB</t>
  </si>
  <si>
    <t>Opción AIO 360mm de "valor" de Cooler Master. Muy vendida.</t>
  </si>
  <si>
    <t>H150i Elite Capellix XT / RGB</t>
  </si>
  <si>
    <t>~300W+</t>
  </si>
  <si>
    <t>Opción AIO 360mm "premium" Corsair. Popular gama alta. (Desarrollador Pro/Micro-empresa).</t>
  </si>
  <si>
    <t>Lian Li</t>
  </si>
  <si>
    <t>Galahad II Trinity / Performance</t>
  </si>
  <si>
    <t>$3,500+</t>
  </si>
  <si>
    <t>Popular nicho entusiasta por estética/rendimiento.</t>
  </si>
  <si>
    <t>Potencia (W)</t>
  </si>
  <si>
    <t>Cert. 80+</t>
  </si>
  <si>
    <t>Mod.</t>
  </si>
  <si>
    <t>CPU (EPS)</t>
  </si>
  <si>
    <t>PCIe (GPU)</t>
  </si>
  <si>
    <t>Tienda</t>
  </si>
  <si>
    <t>Precio (MXN)</t>
  </si>
  <si>
    <t>Budget (White / Bronze Básico)</t>
  </si>
  <si>
    <t>Acteck</t>
  </si>
  <si>
    <t>Edge Z600</t>
  </si>
  <si>
    <t>600W</t>
  </si>
  <si>
    <t>White</t>
  </si>
  <si>
    <t>1x 4+4</t>
  </si>
  <si>
    <t>2x 6+2</t>
  </si>
  <si>
    <t>ML</t>
  </si>
  <si>
    <t>Opción costo mínimo absoluto. Visible ML (Admin básico).</t>
  </si>
  <si>
    <t>Potenza ES-05003</t>
  </si>
  <si>
    <t>500W</t>
  </si>
  <si>
    <t>Bronze</t>
  </si>
  <si>
    <t>Alternativa Bronze básica Acteck. Visible ML (Admin).</t>
  </si>
  <si>
    <t>Thermaltake</t>
  </si>
  <si>
    <t>Smart 500W</t>
  </si>
  <si>
    <t>Opción 500W básica muy vendida por precio (Admin/Estudiante básico).</t>
  </si>
  <si>
    <t>PK450D</t>
  </si>
  <si>
    <t>450W</t>
  </si>
  <si>
    <t>Opción Bronze 450W más barata marca reconocida (Admin).</t>
  </si>
  <si>
    <t>P550B</t>
  </si>
  <si>
    <t>550W</t>
  </si>
  <si>
    <t>550W Bronze barata y popular ML/Cyberpuerta (Estudiante).</t>
  </si>
  <si>
    <t>MWE Bronze V2</t>
  </si>
  <si>
    <t>Muy popular 550W Bronze marca reconocida. Top ventas Amazon (Estudiante).</t>
  </si>
  <si>
    <t>Gama Media (Bronze)</t>
  </si>
  <si>
    <t>Balam Rush</t>
  </si>
  <si>
    <t>Pulsar BR-933339</t>
  </si>
  <si>
    <t>650W</t>
  </si>
  <si>
    <t>Marca local popular. Opción 650W Bronze económica Amazon/ML (Estudiante).</t>
  </si>
  <si>
    <t>Game Factor</t>
  </si>
  <si>
    <t>PSG650</t>
  </si>
  <si>
    <t>Semi</t>
  </si>
  <si>
    <t>Marca local popular. Opción 650W Bronze Semi-Mod. ML/Cyberpuerta (Estudiante).</t>
  </si>
  <si>
    <t>XPG</t>
  </si>
  <si>
    <t>PYLON 650W</t>
  </si>
  <si>
    <t>4x 6+2</t>
  </si>
  <si>
    <t>Opción Bronze sólida de XPG. Muy visible Amazon/DDTech (Estudiante/Desarrollador).</t>
  </si>
  <si>
    <t>MSI</t>
  </si>
  <si>
    <t>MAG A650BN</t>
  </si>
  <si>
    <t>Opción Bronze popular de MSI. Visible Amazon/Cyberpuerta (Estudiante/Desarrollador).</t>
  </si>
  <si>
    <t>CX650 / CX650M (2021)</t>
  </si>
  <si>
    <t>No / Semi</t>
  </si>
  <si>
    <t>#1 Fuente 650W Bronze vendida Amazon/ML. Estándar gama media (Estudiante/Desarrollador).</t>
  </si>
  <si>
    <t>Fuerte competidor CX650. Popular Amazon/DDTech (Estudiante/Desarrollador).</t>
  </si>
  <si>
    <t>EVGA</t>
  </si>
  <si>
    <t>650 BQ</t>
  </si>
  <si>
    <t>Opción Bronze Semi-Mod EVGA popular ML/Cyberpuerta (Estudiante).</t>
  </si>
  <si>
    <t>Smart BM2</t>
  </si>
  <si>
    <t>Alternativa popular Semi-Modular. Visible Amazon/ML (Estudiante).</t>
  </si>
  <si>
    <t>Pulsar BR-934077</t>
  </si>
  <si>
    <t>750W</t>
  </si>
  <si>
    <t>Opción 750W Bronze económica local. Visible Amazon/ML (Desarrollador budget).</t>
  </si>
  <si>
    <t>PSG750</t>
  </si>
  <si>
    <t>Opción 750W Bronze Semi-Mod. local. Visible ML/Cyberpuerta (Desarrollador budget).</t>
  </si>
  <si>
    <t>PYLON 750W</t>
  </si>
  <si>
    <t>Opción Bronze 750W sólida XPG. Visible Amazon/DDTech (Desarrollador).</t>
  </si>
  <si>
    <t>MAG A750BN</t>
  </si>
  <si>
    <t>Opción Bronze 750W popular MSI. Visible Amazon/Cyberpuerta (Desarrollador).</t>
  </si>
  <si>
    <t>CX750 / CX750M (2021)</t>
  </si>
  <si>
    <t>#1 Fuente 750W Bronze vendida. Sweet spot GPUs media-alta (Desarrollador).</t>
  </si>
  <si>
    <t>Fuerte competidor CX750. Popular 750W Bronze (Desarrollador).</t>
  </si>
  <si>
    <t>750 BQ</t>
  </si>
  <si>
    <t>Opción EVGA 750W Bronze Semi-Mod popular ML/Cyberpuerta (Desarrollador).</t>
  </si>
  <si>
    <t>P750B</t>
  </si>
  <si>
    <t>Alternativa Bronze económica Gigabyte, visible ML (Desarrollador budget).</t>
  </si>
  <si>
    <t>Gama Media-Alta (Gold)</t>
  </si>
  <si>
    <t>P750GM (Rev.)</t>
  </si>
  <si>
    <t>Gold</t>
  </si>
  <si>
    <t>Full</t>
  </si>
  <si>
    <t>2x 4+4</t>
  </si>
  <si>
    <t>Popular: Gold Full Mod a precio casi Bronze (Desarrollador).</t>
  </si>
  <si>
    <t>MWE Gold V2</t>
  </si>
  <si>
    <t>1x 4+4, 1x 8</t>
  </si>
  <si>
    <t>Opción Gold 750W popular y buen precio (Desarrollador/Micro-empresa).</t>
  </si>
  <si>
    <t>SuperNOVA 750 GT / G6</t>
  </si>
  <si>
    <t>Series Gold 750W EVGA populares ML/Cyberpuerta (Desarrollador/Micro-empresa).</t>
  </si>
  <si>
    <t>RMe Series RM750e (2023)</t>
  </si>
  <si>
    <t>ATX (ATX 3.0)</t>
  </si>
  <si>
    <t>3x 6+2 / 1x 12VHPWR</t>
  </si>
  <si>
    <t>Fuente Gold ATX 3.0 más popular. Excelente builds nuevas (Desarrollador/Micro-empresa).</t>
  </si>
  <si>
    <t>Seasonic</t>
  </si>
  <si>
    <t>FOCUS GX-750</t>
  </si>
  <si>
    <t>Referente calidad. Popular tiendas especializadas (Desarrollador/Micro-empresa).</t>
  </si>
  <si>
    <t>CORE REACTOR 750W</t>
  </si>
  <si>
    <t>6x 6+2</t>
  </si>
  <si>
    <t>Opción Gold 750W muy respetada de XPG. Visible Amazon/DDTech (Desarrollador/Micro-empresa).</t>
  </si>
  <si>
    <t>MAG A750GL PCIE5</t>
  </si>
  <si>
    <t>Opción Gold ATX 3.0 popular de MSI. Visible Amazon/Cyberpuerta (Desarrollador/Micro-empresa).</t>
  </si>
  <si>
    <t>850W</t>
  </si>
  <si>
    <t>Opción 850W Gold popular y buen precio (Desarrollador Pro/Micro-empresa).</t>
  </si>
  <si>
    <t>UD850GM</t>
  </si>
  <si>
    <t>4x 6+2 / 1x 12VHPWR</t>
  </si>
  <si>
    <t>Opción 850W Gold ATX 3.0 Gigabyte, popular ML/Cyberpuerta (Desarrollador Pro/Micro-empresa).</t>
  </si>
  <si>
    <t>SuperNOVA 850 G6 / GT</t>
  </si>
  <si>
    <t>Opciones 850W Gold EVGA populares (Desarrollador Pro/Micro-empresa).</t>
  </si>
  <si>
    <t>RMe Series RM850e (2023)</t>
  </si>
  <si>
    <t>Fuente 850W Gold ATX 3.0 #1 ventas. Ideal gama alta (Desarrollador Pro/Micro-empresa).</t>
  </si>
  <si>
    <t>Toughpower GF A3</t>
  </si>
  <si>
    <t>Fuente 850W Gold ATX 3.0 Thermaltake, visible Amazon/DDTech (Desarrollador Pro/Micro-empresa).</t>
  </si>
  <si>
    <t>CORE REACTOR 850W</t>
  </si>
  <si>
    <t>Opción Gold 850W respetada XPG. Visible Amazon/DDTech (Desarrollador Pro/Micro-empresa).</t>
  </si>
  <si>
    <t>MAG A850GL PCIE5</t>
  </si>
  <si>
    <t>5x 6+2 / 1x 12VHPWR</t>
  </si>
  <si>
    <t>Opción Gold ATX 3.0 850W popular MSI (Desarrollador Pro/Micro-empresa).</t>
  </si>
  <si>
    <t>Pure Power 12 M</t>
  </si>
  <si>
    <t>Opción 850W Gold ATX 3.0 silencio. Popular tiendas especializadas (Desarrollador Pro).</t>
  </si>
  <si>
    <t>Gama Alta (Gold / Platinum)</t>
  </si>
  <si>
    <t>TUF Gaming 850W Gold</t>
  </si>
  <si>
    <t>Opción 850W Gold ATX 3.0 ASUS, popular marca/estética TUF (Desarrollador Pro).</t>
  </si>
  <si>
    <t>FOCUS GX-850</t>
  </si>
  <si>
    <t>Opción 850W Gold alta calidad Seasonic. (Desarrollador Pro/Micro-empresa).</t>
  </si>
  <si>
    <t>RM850x SHIFT / RM850x (2021)</t>
  </si>
  <si>
    <t>ATX (ATX 3.0 opc.)</t>
  </si>
  <si>
    <t>4x 6+2 / 1x 12VHPWR opc.</t>
  </si>
  <si>
    <t>Gama alta 850W Gold Corsair (mejor calidad/garantía). Popular entusiastas (Desarrollador Pro/Micro-empresa).</t>
  </si>
  <si>
    <t>RM1000e (2023)</t>
  </si>
  <si>
    <t>1000W</t>
  </si>
  <si>
    <t>7x 6+2 / 1x 12VHPWR</t>
  </si>
  <si>
    <t>Fuente 1000W Gold ATX 3.0 más popular. Para tope de gama (Micro-empresa / RTX 4090).</t>
  </si>
  <si>
    <t>Toughpower GF3</t>
  </si>
  <si>
    <t>Competidor RM1000e. Popular 1000W ATX 3.0 (Micro-empresa / RTX 4090).</t>
  </si>
  <si>
    <t>SuperNOVA 1000 G6</t>
  </si>
  <si>
    <t>8x 6+2</t>
  </si>
  <si>
    <t>Opción 1000W Gold alta calidad EVGA. (Micro-empresa / Entusiasta).</t>
  </si>
  <si>
    <t>MPG A1000G PCIE5</t>
  </si>
  <si>
    <t>Opción 1000W Gold ATX 3.0 popular MSI (Micro-empresa / Entusiasta).</t>
  </si>
  <si>
    <t>RM1000x SHIFT</t>
  </si>
  <si>
    <t>6x 6+2 / 1x 12VHPWR</t>
  </si>
  <si>
    <t>Gama alta 1000W Gold Corsair (mejor calidad/garantía). (Micro-empresa / Entusiasta).</t>
  </si>
  <si>
    <t>FOCUS PX-850</t>
  </si>
  <si>
    <t>Platinum</t>
  </si>
  <si>
    <t>Opción 850W Platinum alta calidad Seasonic (max eficiencia). (Micro-empresa crítica).</t>
  </si>
  <si>
    <t>Magnetar BR-934084</t>
  </si>
  <si>
    <t>1050W</t>
  </si>
  <si>
    <t>Opción Platinum ATX 3.0 marca local. Valor gama alta (Micro-empresa).</t>
  </si>
  <si>
    <t>CYBERCORE 1000W</t>
  </si>
  <si>
    <t>Opción 1000W Platinum ATX 3.0 popular XPG (Micro-empresa / Entusiasta).</t>
  </si>
  <si>
    <t>SFX (Nicho Mini-ITX)</t>
  </si>
  <si>
    <t>V750 SFX Gold</t>
  </si>
  <si>
    <t>SFX</t>
  </si>
  <si>
    <t>Fuente SFX 750W Gold más popular. Builds Mini-ITX potentes.</t>
  </si>
  <si>
    <t>SF750</t>
  </si>
  <si>
    <t>Fuente SFX 750W Platinum #1. Máxima calidad/eficiencia SFF.</t>
  </si>
  <si>
    <t>V850 SFX Gold</t>
  </si>
  <si>
    <t>Opción SFX 850W Gold popular para SFF gama alta.</t>
  </si>
  <si>
    <t>Gama Extrema (Platinum / Titanium)</t>
  </si>
  <si>
    <t>FOCUS PX-1000 / PRIME TX-1000</t>
  </si>
  <si>
    <t>Platinum / Titanium</t>
  </si>
  <si>
    <t>$5,500 (PX) / $7,000+ (TX)</t>
  </si>
  <si>
    <t>Opciones 1000W Plat/Titanium Seasonic. Máxima calidad/eficiencia (Micro-empresa crítica).</t>
  </si>
  <si>
    <t>Straight Power 12 / Dark Power 13</t>
  </si>
  <si>
    <t>$5,000 (SP) / $7,500 (DP)</t>
  </si>
  <si>
    <t>Opciones 1000W Plat/Titanium ATX 3.0 Be Quiet! (silencio/eficiencia). (Micro-empresa crítica).</t>
  </si>
  <si>
    <t>HX1200 / AX1200i</t>
  </si>
  <si>
    <t>1200W</t>
  </si>
  <si>
    <t>$7,000+ (HX) / $8,000+ (AXi)</t>
  </si>
  <si>
    <t>Representa gama Plat/Titanium &gt;1000W sistemas extremos (Micro-empresa avanzada).</t>
  </si>
  <si>
    <t>Toughpower PF1 / PF3</t>
  </si>
  <si>
    <t>1050/1200W</t>
  </si>
  <si>
    <t>8x 6+2 / 1x 12VHPWR opc.</t>
  </si>
  <si>
    <t>$5,000+</t>
  </si>
  <si>
    <t>Opciones Platinum &gt;1000W Thermaltake (Micro-empresa / Entusiasta).</t>
  </si>
  <si>
    <t>SuperNOVA 1000 P6</t>
  </si>
  <si>
    <t>Opción 1000W Platinum EVGA (Micro-empresa / Entusiasta).</t>
  </si>
  <si>
    <t>ROG Strix 1000W Gold Aura</t>
  </si>
  <si>
    <t>Opción 1000W Gold ATX 3.0 premium ASUS (estética ROG). (Entusiasta).</t>
  </si>
  <si>
    <t>AX1600i</t>
  </si>
  <si>
    <t>1600W</t>
  </si>
  <si>
    <t>Titanium</t>
  </si>
  <si>
    <t>10x 6+2</t>
  </si>
  <si>
    <t>$12,000+</t>
  </si>
  <si>
    <t>Representa el extremo absoluto 1600W (workstations multi-GPU).</t>
  </si>
  <si>
    <t>Modelo Específico</t>
  </si>
  <si>
    <t>MB Soporte</t>
  </si>
  <si>
    <t>Fans Incl.</t>
  </si>
  <si>
    <t>Soporte Rad. (Max)</t>
  </si>
  <si>
    <t>Bahías 3.5"/2.5"</t>
  </si>
  <si>
    <t>GPU Long. (Max)</t>
  </si>
  <si>
    <t>CPU Altura (Max)</t>
  </si>
  <si>
    <t>PSU Formato/Long.(Max)</t>
  </si>
  <si>
    <t>Panel Frontal I/O</t>
  </si>
  <si>
    <t>G. Cables</t>
  </si>
  <si>
    <t>F. Polvo</t>
  </si>
  <si>
    <t>P. Lat.</t>
  </si>
  <si>
    <t>B. Extra</t>
  </si>
  <si>
    <t>PCIe Slots (Tipo)</t>
  </si>
  <si>
    <t>Budget mATX (Local/Valor)</t>
  </si>
  <si>
    <t>Naceb</t>
  </si>
  <si>
    <t>NA-0601 / Similares</t>
  </si>
  <si>
    <t>mATX</t>
  </si>
  <si>
    <t>mATX, ITX</t>
  </si>
  <si>
    <t>1x Fan LED</t>
  </si>
  <si>
    <t>120mm Rear</t>
  </si>
  <si>
    <t>290mm</t>
  </si>
  <si>
    <t>150mm</t>
  </si>
  <si>
    <t>ATX / ~150mm</t>
  </si>
  <si>
    <t>2x USB 2.0</t>
  </si>
  <si>
    <t>Mínima</t>
  </si>
  <si>
    <t>Sólido/Acrílico</t>
  </si>
  <si>
    <t>Reset</t>
  </si>
  <si>
    <t>4 (Desech.)</t>
  </si>
  <si>
    <t>Opción costo mínimo absoluto (&lt;$700). Visible en ML (Admin básico).</t>
  </si>
  <si>
    <t>Kiruna AC-929056 / Flint</t>
  </si>
  <si>
    <t>0-1 Fan</t>
  </si>
  <si>
    <t>300mm</t>
  </si>
  <si>
    <t>155mm</t>
  </si>
  <si>
    <t>ATX / ~160mm</t>
  </si>
  <si>
    <t>2x USB 2.0, 1x 3.0</t>
  </si>
  <si>
    <t>Competidor directo de Naceb en costo mínimo. Visible ML/PCEL (Admin básico).</t>
  </si>
  <si>
    <t>Xtreme PC Gaming</t>
  </si>
  <si>
    <t>Varios modelos OEM</t>
  </si>
  <si>
    <t>1-3 Fans RGB</t>
  </si>
  <si>
    <t>120/240mm</t>
  </si>
  <si>
    <t>~300mm</t>
  </si>
  <si>
    <t>~155mm</t>
  </si>
  <si>
    <t>Básica</t>
  </si>
  <si>
    <t>Acrílico/VT</t>
  </si>
  <si>
    <t>Reset, LED</t>
  </si>
  <si>
    <t>Representa gabinetes genéricos/OEM muy comunes en ML (Admin/Estudiante muy budget).</t>
  </si>
  <si>
    <t>CSG501 / CSG502</t>
  </si>
  <si>
    <t>3x 120mm RGB</t>
  </si>
  <si>
    <t>240mm Front</t>
  </si>
  <si>
    <t>160mm</t>
  </si>
  <si>
    <t>VT</t>
  </si>
  <si>
    <t>Muy popular ML/Cyberpuerta. Opción mATX RGB barata (Admin/Estudiante).</t>
  </si>
  <si>
    <t>Yeyian</t>
  </si>
  <si>
    <t>Kalt 1101 / Similares</t>
  </si>
  <si>
    <t>320mm</t>
  </si>
  <si>
    <t>ATX / ~170mm</t>
  </si>
  <si>
    <t>Front</t>
  </si>
  <si>
    <t>Top ventas Amazon mATX. Diseño limpio, valor (Admin/Estudiante).</t>
  </si>
  <si>
    <t>Ocelot Gaming</t>
  </si>
  <si>
    <t>OG-C1 / OG-C2</t>
  </si>
  <si>
    <t>310mm</t>
  </si>
  <si>
    <t>Popular en ML por estética gamer económica (Estudiante budget).</t>
  </si>
  <si>
    <t>Wind Archon BR-932840</t>
  </si>
  <si>
    <t>165mm</t>
  </si>
  <si>
    <t>1x USB 2.0, 2x 3.0</t>
  </si>
  <si>
    <t>Front/Top</t>
  </si>
  <si>
    <t>Opción mATX RGB popular de Balam Rush (Estudiante budget).</t>
  </si>
  <si>
    <t>Gama Media-Baja (mATX/ATX)</t>
  </si>
  <si>
    <t>Aerocool</t>
  </si>
  <si>
    <t>Bolt / Cylon Mini</t>
  </si>
  <si>
    <t>318mm</t>
  </si>
  <si>
    <t>1x USB 3.0, 2x 2.0</t>
  </si>
  <si>
    <t>Aceptable</t>
  </si>
  <si>
    <t>PSU</t>
  </si>
  <si>
    <t>Acrílico</t>
  </si>
  <si>
    <t>Opciones mATX económicas con RGB frontal, visibles ML/Amazon (Estudiante budget).</t>
  </si>
  <si>
    <t>MasterBox Q300L</t>
  </si>
  <si>
    <t>360mm</t>
  </si>
  <si>
    <t>159mm</t>
  </si>
  <si>
    <t>ATX / 160mm</t>
  </si>
  <si>
    <t>2x USB 3.0</t>
  </si>
  <si>
    <t>Buena</t>
  </si>
  <si>
    <t>Todos (Magnéticos)</t>
  </si>
  <si>
    <t>4 (Reutiliz.)</t>
  </si>
  <si>
    <t>Muy popular por diseño modular y precio. Buen valor mATX (Estudiante).</t>
  </si>
  <si>
    <t>H100 TG</t>
  </si>
  <si>
    <t>ATX, mATX, ITX</t>
  </si>
  <si>
    <t>280mm Front</t>
  </si>
  <si>
    <t>180mm</t>
  </si>
  <si>
    <t>7 (Desech.)</t>
  </si>
  <si>
    <t>Opción ATX económica con VT, visible Amazon (Estudiante budget).</t>
  </si>
  <si>
    <t>C200 Glass</t>
  </si>
  <si>
    <t>330mm</t>
  </si>
  <si>
    <t>ATX / 170mm</t>
  </si>
  <si>
    <t>Top/Bottom</t>
  </si>
  <si>
    <t>Opción ATX económica Gigabyte, visible ML/Cyberpuerta (Estudiante budget).</t>
  </si>
  <si>
    <t>MasterBox NR400</t>
  </si>
  <si>
    <t>346mm</t>
  </si>
  <si>
    <t>166mm</t>
  </si>
  <si>
    <t>ATX / 180mm</t>
  </si>
  <si>
    <t>Todos</t>
  </si>
  <si>
    <t>Excelente mATX con mesh frontal, buen flujo de aire (Estudiante).</t>
  </si>
  <si>
    <t>MAG Forge 100R / 110R</t>
  </si>
  <si>
    <t>2-3 Fans ARGB</t>
  </si>
  <si>
    <t>ATX / 200mm</t>
  </si>
  <si>
    <t>7 (Reutiliz.)</t>
  </si>
  <si>
    <t>Opción ATX popular MSI con buen valor (fans incluidos) (Estudiante/Desarrollador).</t>
  </si>
  <si>
    <t>Kalt X11 / X21</t>
  </si>
  <si>
    <t>3x 120mm ARGB</t>
  </si>
  <si>
    <t>360mm Front</t>
  </si>
  <si>
    <t>2x USB 3.0, 1x USB-C</t>
  </si>
  <si>
    <t>Opción ATX popular Yeyian, compite con MSI/ASUS básicos (Estudiante/Desarrollador).</t>
  </si>
  <si>
    <t>MasterBox MB511 ARGB</t>
  </si>
  <si>
    <t>410mm</t>
  </si>
  <si>
    <t>Alternativa popular al TD500 Mesh, frente mesh y fans ARGB.</t>
  </si>
  <si>
    <t>Gama Media ATX (Airflow Focus)</t>
  </si>
  <si>
    <t>Fractal Design</t>
  </si>
  <si>
    <t>Focus 2</t>
  </si>
  <si>
    <t>405mm</t>
  </si>
  <si>
    <t>170mm</t>
  </si>
  <si>
    <t>Opción airflow más económica Fractal, buena calidad (Estudiante/Desarrollador).</t>
  </si>
  <si>
    <t>CSG700 / CSG750</t>
  </si>
  <si>
    <t>3-4 Fans ARGB</t>
  </si>
  <si>
    <t>380mm</t>
  </si>
  <si>
    <t>Modelo ATX superior Game Factor, popular ML/Cyberpuerta (Estudiante/Desarrollador).</t>
  </si>
  <si>
    <t>CH510 Mesh Digital</t>
  </si>
  <si>
    <t>E-ATX, ATX, mATX, ITX</t>
  </si>
  <si>
    <t>360mm Front/Top</t>
  </si>
  <si>
    <t>175mm</t>
  </si>
  <si>
    <t>1x USB 3.0, 1x USB-C</t>
  </si>
  <si>
    <t>Opción ATX popular Deepcool airflow + pantalla digital (temp).</t>
  </si>
  <si>
    <t>TUF Gaming GT301</t>
  </si>
  <si>
    <t>3x 120mm ARGB, 1x 120mm</t>
  </si>
  <si>
    <t>Gabinete TUF popular estética/fans incluidos (Estudiante/Desarrollador).</t>
  </si>
  <si>
    <t>Montech</t>
  </si>
  <si>
    <t>AIR 903 MAX</t>
  </si>
  <si>
    <t>4x 140mm (3 ARGB)</t>
  </si>
  <si>
    <t>400mm</t>
  </si>
  <si>
    <t>ATX / 240mm</t>
  </si>
  <si>
    <t>Muy Buena</t>
  </si>
  <si>
    <t>Muy popular por excelente airflow/valor (similar a Lancool 216).</t>
  </si>
  <si>
    <t>H5 Flow</t>
  </si>
  <si>
    <t>365mm</t>
  </si>
  <si>
    <t>Principal competidor 4000D. Muy popular estética NZXT/buen airflow (Estudiante/Desarrollador).</t>
  </si>
  <si>
    <t>Lancool 215</t>
  </si>
  <si>
    <t>2x 200mm ARGB, 1x 120mm</t>
  </si>
  <si>
    <t>370mm</t>
  </si>
  <si>
    <t>ATX / 210mm</t>
  </si>
  <si>
    <t>Predecesor 216, aún popular por grandes ventiladores frontales (Estudiante/Desarrollador).</t>
  </si>
  <si>
    <t>4000D Airflow</t>
  </si>
  <si>
    <t>7+2 Vert. (Reutiliz.)</t>
  </si>
  <si>
    <t>#1 Gabinete ATX Más Vendido Amazon/ML. Referente airflow/calidad/precio (Estudiante/Desarrollador).</t>
  </si>
  <si>
    <t>Pop Air</t>
  </si>
  <si>
    <t>Muy popular diseño mesh colorido/calidad Fractal (Estudiante/Desarrollador).</t>
  </si>
  <si>
    <t>Phanteks</t>
  </si>
  <si>
    <t>Eclipse P400A Digital</t>
  </si>
  <si>
    <t>3x 120mm DRGB</t>
  </si>
  <si>
    <t>420mm</t>
  </si>
  <si>
    <t>ATX / 270mm (s/HDD)</t>
  </si>
  <si>
    <t>LED</t>
  </si>
  <si>
    <t>Modelo Phanteks popular excelente airflow/RGB integrado.</t>
  </si>
  <si>
    <t>MasterBox TD500 Mesh V2</t>
  </si>
  <si>
    <t>ATX / 180mm (295 s/HDD)</t>
  </si>
  <si>
    <t>Muy popular estética 3D mesh/3 fans ARGB (Estudiante/Desarrollador).</t>
  </si>
  <si>
    <t>LANCOOL 216</t>
  </si>
  <si>
    <t>2x 160mm ARGB, 1x 140mm</t>
  </si>
  <si>
    <t>392mm</t>
  </si>
  <si>
    <t>ATX / 220mm</t>
  </si>
  <si>
    <t>Excelente</t>
  </si>
  <si>
    <t>Front/Bottom</t>
  </si>
  <si>
    <t>Rey airflow gama media. Popular entusiastas (Cyberpuerta/DDTech) (Desarrollador).</t>
  </si>
  <si>
    <t>H6 Flow</t>
  </si>
  <si>
    <t>3x 120mm (ángulo)</t>
  </si>
  <si>
    <t>360mm Top</t>
  </si>
  <si>
    <t>163mm</t>
  </si>
  <si>
    <t>Diseño "dual chamber" popular estética/airflow GPU.</t>
  </si>
  <si>
    <t>Gama Alta ATX / E-ATX</t>
  </si>
  <si>
    <t>H7 Flow</t>
  </si>
  <si>
    <t>185mm</t>
  </si>
  <si>
    <t>Evolución H5, más espacio/soporte AIO. Popular (Desarrollador Pro).</t>
  </si>
  <si>
    <t>Meshify 2 Compact</t>
  </si>
  <si>
    <t>3x 140mm</t>
  </si>
  <si>
    <t>341mm (GPU)</t>
  </si>
  <si>
    <t>169mm</t>
  </si>
  <si>
    <t>ATX / 165mm (c/HDD)</t>
  </si>
  <si>
    <t>Referente gama alta airflow/modularidad (Compacto) (Desarrollador Pro).</t>
  </si>
  <si>
    <t>Lancool III</t>
  </si>
  <si>
    <t>420mm Front, 360mm Top</t>
  </si>
  <si>
    <t>435mm</t>
  </si>
  <si>
    <t>VT x2</t>
  </si>
  <si>
    <t>8 (Reutiliz.)</t>
  </si>
  <si>
    <t>Gama alta airflow Lian Li. Popular entusiastas (Desarrollador Pro).</t>
  </si>
  <si>
    <t>5000D Airflow</t>
  </si>
  <si>
    <t>360mm Front/Top/Side</t>
  </si>
  <si>
    <t>ATX / 250mm</t>
  </si>
  <si>
    <t>Popular espacio/flexibilidad cooling (3x 360mm rads) (Desarrollador Pro/Micro-empresa).</t>
  </si>
  <si>
    <t>MPG GUNGNIR 300R Airflow</t>
  </si>
  <si>
    <t>4x 140mm ARGB</t>
  </si>
  <si>
    <t>7+ Soporte Vert.</t>
  </si>
  <si>
    <t>Opción MSI gama alta airflow/estética (Desarrollador Pro/Entusiasta).</t>
  </si>
  <si>
    <t>O11 Dynamic EVO / Vision</t>
  </si>
  <si>
    <t>360mm Top/Bottom/Side</t>
  </si>
  <si>
    <t>2+ / 4+</t>
  </si>
  <si>
    <t>167mm</t>
  </si>
  <si>
    <t>Bottom/Side</t>
  </si>
  <si>
    <t>VT x2/x3</t>
  </si>
  <si>
    <t>Gabinete "showcase" más popular. Estética/cooling líquido (Desarrollador Pro/Entusiasta).</t>
  </si>
  <si>
    <t>H9 Flow</t>
  </si>
  <si>
    <t>4x 120mm</t>
  </si>
  <si>
    <t>Competidor O11 Dynamic, airflow + estética (Desarrollador Pro/Entusiasta).</t>
  </si>
  <si>
    <t>Meshify 2</t>
  </si>
  <si>
    <t>6+ / 4</t>
  </si>
  <si>
    <t>467mm (GPU)</t>
  </si>
  <si>
    <t>ATX / 250mm (c/HDD)</t>
  </si>
  <si>
    <t>Referente gama alta airflow/modularidad (Normal) (Desarrollador Pro/Micro-empresa).</t>
  </si>
  <si>
    <t>Silent Base 802</t>
  </si>
  <si>
    <t>432mm</t>
  </si>
  <si>
    <t>ATX / 288mm</t>
  </si>
  <si>
    <t>Sólido (Paneles Intercambiables)</t>
  </si>
  <si>
    <t>Enfocado en silencio/modularidad (paneles mesh/sólido) (Desarrollador Pro).</t>
  </si>
  <si>
    <t>Define 7</t>
  </si>
  <si>
    <t>6+ / 5</t>
  </si>
  <si>
    <t>491mm (GPU)</t>
  </si>
  <si>
    <t>2x USB 3.0, 2x 2.0, 1x USB-C</t>
  </si>
  <si>
    <t>Sólido (Enfocado en Silencio)</t>
  </si>
  <si>
    <t>Rey del silencio/almacenamiento masivo (Micro-empresa muchos HDDs).</t>
  </si>
  <si>
    <t>ROG Strix Helios</t>
  </si>
  <si>
    <t>4x 140mm</t>
  </si>
  <si>
    <t>450mm</t>
  </si>
  <si>
    <t>190mm</t>
  </si>
  <si>
    <t>4x USB 3.0, 1x USB-C</t>
  </si>
  <si>
    <t>VT x3</t>
  </si>
  <si>
    <t>Reset, LED, Fan Ctrl</t>
  </si>
  <si>
    <t>8+2 Vert. (Reutiliz.)</t>
  </si>
  <si>
    <t>Gabinete premium ROG (estética, características). Nicho entusiasta.</t>
  </si>
  <si>
    <t>Mini-ITX (Nicho SFF)</t>
  </si>
  <si>
    <t>MasterBox NR200P</t>
  </si>
  <si>
    <t>Mini-ITX, Mini-DTX</t>
  </si>
  <si>
    <t>280mm Side/Bottom</t>
  </si>
  <si>
    <t>155mm (VT) / 67mm (Vert GPU)</t>
  </si>
  <si>
    <t>SFX/SFX-L</t>
  </si>
  <si>
    <t>VT/Mesh</t>
  </si>
  <si>
    <t>3 (Reutiliz.)</t>
  </si>
  <si>
    <t>Gabinete ITX más popular/versátil.</t>
  </si>
  <si>
    <t>A4-H2O</t>
  </si>
  <si>
    <t>240mm Top</t>
  </si>
  <si>
    <t>0 / 1</t>
  </si>
  <si>
    <t>322mm</t>
  </si>
  <si>
    <t>55mm</t>
  </si>
  <si>
    <t>Side/Top/Bottom</t>
  </si>
  <si>
    <t>Mesh</t>
  </si>
  <si>
    <t>ITX "sandwich" popular por tamaño/rendimiento.</t>
  </si>
  <si>
    <t>H1 V2</t>
  </si>
  <si>
    <t>1x 140mm AIO, 1x 92mm</t>
  </si>
  <si>
    <t>Incluido (140mm)</t>
  </si>
  <si>
    <t>0 / 2</t>
  </si>
  <si>
    <t>324mm</t>
  </si>
  <si>
    <t>(AIO Incluido)</t>
  </si>
  <si>
    <t>SFX-L 750W Gold Incl.</t>
  </si>
  <si>
    <t>2 (Reutiliz.)</t>
  </si>
  <si>
    <t>ITX vertical "todo en uno" (incluye AIO/PSU). Popular.</t>
  </si>
  <si>
    <t>Full Tower (E-ATX)</t>
  </si>
  <si>
    <t>Meshify 2 XL</t>
  </si>
  <si>
    <t>Full Tower</t>
  </si>
  <si>
    <t>480mm Front/Top</t>
  </si>
  <si>
    <t>549mm (GPU)</t>
  </si>
  <si>
    <t>9+3 Vert. (Reutiliz.)</t>
  </si>
  <si>
    <t>Competidor 7000D, airflow/almacenamiento masivo (Micro-empresa).</t>
  </si>
  <si>
    <t>7000D Airflow</t>
  </si>
  <si>
    <t>480mm Front/Top, 420mm Side</t>
  </si>
  <si>
    <t>ATX / 225mm</t>
  </si>
  <si>
    <t>8+3 Vert. (Reutiliz.)</t>
  </si>
  <si>
    <t>Representa Full Tower para máximo espacio/cooling (Micro-empresa avanzada).</t>
  </si>
  <si>
    <t>V3000 Plus</t>
  </si>
  <si>
    <t>EEB, E-ATX, ATX, mATX, ITX</t>
  </si>
  <si>
    <t>480mm x3</t>
  </si>
  <si>
    <t>589mm (GPU)</t>
  </si>
  <si>
    <t>198mm</t>
  </si>
  <si>
    <t>ATX / 220mm (x2 PSU)</t>
  </si>
  <si>
    <t>Extrema</t>
  </si>
  <si>
    <t>8+ (Rotatable)</t>
  </si>
  <si>
    <t>$10,000+</t>
  </si>
  <si>
    <t>Extremo absoluto para sistemas duales/custom loops.</t>
  </si>
  <si>
    <t>Core P3 Pro</t>
  </si>
  <si>
    <t>420mm Side</t>
  </si>
  <si>
    <t>Mínima (Open)</t>
  </si>
  <si>
    <t>Ninguno</t>
  </si>
  <si>
    <t>8 (Rotatable)</t>
  </si>
  <si>
    <t>Representa categoría "Open Frame" popular para exhibición/modding.</t>
  </si>
  <si>
    <t>Capacidad (VA / W)</t>
  </si>
  <si>
    <t>Cont. Total</t>
  </si>
  <si>
    <t>Cont. Bat+Reg+Sup</t>
  </si>
  <si>
    <t>Cont. Reg+Sup</t>
  </si>
  <si>
    <t>Cont. Sup Solo</t>
  </si>
  <si>
    <t>AVR</t>
  </si>
  <si>
    <t>T. Respaldo (Estimado)</t>
  </si>
  <si>
    <t>Forma Onda</t>
  </si>
  <si>
    <t>Supresor de Picos</t>
  </si>
  <si>
    <t>Koblenz / Steren / CDP</t>
  </si>
  <si>
    <t>Multicontacto Básico c/Supresor</t>
  </si>
  <si>
    <t>Supresor Picos</t>
  </si>
  <si>
    <t>ML/Amazon</t>
  </si>
  <si>
    <t>Protección mínima absoluta (&lt;$300). Visible "Más Vendidos" por precio (Admin/Estudiante muy básico).</t>
  </si>
  <si>
    <t>Regulador de Voltaje</t>
  </si>
  <si>
    <t>Koblenz</t>
  </si>
  <si>
    <t>ER-2550 / Similares</t>
  </si>
  <si>
    <t>Regulador</t>
  </si>
  <si>
    <t>2550 VA / 1000 W</t>
  </si>
  <si>
    <t>#1 Regulador Más Vendido ML/Amazon. Estándar básico protección voltaje (Admin/Estudiante).</t>
  </si>
  <si>
    <t>CDP</t>
  </si>
  <si>
    <t>R-AVR 1008 / 1808</t>
  </si>
  <si>
    <t>1000/1800 VA / 500/900 W</t>
  </si>
  <si>
    <t>ML/Cyberpuerta</t>
  </si>
  <si>
    <t>$450 / $550</t>
  </si>
  <si>
    <t>Competidor directo Koblenz, muy popular por precio (Admin/Estudiante).</t>
  </si>
  <si>
    <t>Complet</t>
  </si>
  <si>
    <t>Vica 1200VA</t>
  </si>
  <si>
    <t>1200 VA / 600 W</t>
  </si>
  <si>
    <t>Marca local popular en reguladores económicos. Visible en ML. (Admin/Estudiante).</t>
  </si>
  <si>
    <t>Smartbitt</t>
  </si>
  <si>
    <t>SBAVR1200</t>
  </si>
  <si>
    <t>Alternativa popular en Amazon para reguladores.</t>
  </si>
  <si>
    <t>Forza</t>
  </si>
  <si>
    <t>FVR-1211USB</t>
  </si>
  <si>
    <t>Otra marca local/regional popular en reguladores económicos.</t>
  </si>
  <si>
    <t>No-Break Standby/Offline</t>
  </si>
  <si>
    <t>NT-511 / NT-761</t>
  </si>
  <si>
    <t>No-Break Standby</t>
  </si>
  <si>
    <t>500/750 VA / 250/375 W</t>
  </si>
  <si>
    <t>3-4 (Bat+Sup)</t>
  </si>
  <si>
    <t>3-4 (Sup)</t>
  </si>
  <si>
    <t>No (Básico)</t>
  </si>
  <si>
    <t>5-15 min</t>
  </si>
  <si>
    <t>Sim</t>
  </si>
  <si>
    <t>$700 / $850</t>
  </si>
  <si>
    <t>UPS más económico. Respaldo básico vs apagones (Estudiante budget).</t>
  </si>
  <si>
    <t>SBNB500 / SBNB750</t>
  </si>
  <si>
    <t>$750 / $900</t>
  </si>
  <si>
    <t>Alternativa popular al Forza en UPS Standby económicos.</t>
  </si>
  <si>
    <t>No-Break Línea Interactiva (Gama Entrada/Media)</t>
  </si>
  <si>
    <t>R-UPR 758 / 908</t>
  </si>
  <si>
    <t>No-Break LI</t>
  </si>
  <si>
    <t>750/900 VA / 375/450 W</t>
  </si>
  <si>
    <t>4 (Bat+AVR+Sup)</t>
  </si>
  <si>
    <t>4 (Sup)</t>
  </si>
  <si>
    <t>10-25 min</t>
  </si>
  <si>
    <t>$1,000 / $1,200</t>
  </si>
  <si>
    <t>UPS LI + AVR más económico y popular. Excelente valor (Estudiante).</t>
  </si>
  <si>
    <t>7619 / 9019 USB/R</t>
  </si>
  <si>
    <t>760/900 VA / 400/480 W</t>
  </si>
  <si>
    <t>3-4 (Bat+AVR+Sup)</t>
  </si>
  <si>
    <t>3-4 (AVR+Sup)</t>
  </si>
  <si>
    <t>10-30 min</t>
  </si>
  <si>
    <t>$1,100 / $1,300</t>
  </si>
  <si>
    <t>Competidor directo CDP. Muy popular por marca Koblenz (Estudiante).</t>
  </si>
  <si>
    <t>CyberPower</t>
  </si>
  <si>
    <t>CP900AVR / CP1000AVRLCD</t>
  </si>
  <si>
    <t>900/1000 VA / 540/600 W</t>
  </si>
  <si>
    <t>4-5 (Bat+AVR+Sup)</t>
  </si>
  <si>
    <t>4-5 (AVR+Sup)</t>
  </si>
  <si>
    <t>15-40 min</t>
  </si>
  <si>
    <t>$1,500 / $1,800</t>
  </si>
  <si>
    <t>#1 UPS LI Más Vendido Amazon. Excelente balance capacidad/precio/marca (Estudiante/Desarrollador).</t>
  </si>
  <si>
    <t>APC</t>
  </si>
  <si>
    <t>Back-UPS BE850G2 / BR1000MS</t>
  </si>
  <si>
    <t>850/1000 VA / 450/600 W</t>
  </si>
  <si>
    <t>4-6 (Bat+AVR+Sup)</t>
  </si>
  <si>
    <t>2-4 (Sup)</t>
  </si>
  <si>
    <r>
      <t xml:space="preserve">Sim / </t>
    </r>
    <r>
      <rPr>
        <b/>
        <sz val="11"/>
        <color rgb="FF1B1C1D"/>
        <rFont val="Arial"/>
        <family val="2"/>
      </rPr>
      <t>Pura</t>
    </r>
  </si>
  <si>
    <t>$1,600 / $2,500</t>
  </si>
  <si>
    <t>Marca líder en UPS. Popular por fiabilidad. BR1000MS opción Pura (Desarrollador).</t>
  </si>
  <si>
    <t>SBL1000</t>
  </si>
  <si>
    <t>1000 VA / 500 W</t>
  </si>
  <si>
    <t>4 (AVR+Sup)</t>
  </si>
  <si>
    <t>15-35 min</t>
  </si>
  <si>
    <t>Alternativa popular al CyberPower/APC 1000VA en Amazon.</t>
  </si>
  <si>
    <t>Tripp Lite</t>
  </si>
  <si>
    <t>INTERNET900U / ECO850LCD</t>
  </si>
  <si>
    <t>900/850 VA / 480/425 W</t>
  </si>
  <si>
    <t>6 (Bat+AVR+Sup)</t>
  </si>
  <si>
    <t>6 (Sup)</t>
  </si>
  <si>
    <t>$1,700 / $1,500</t>
  </si>
  <si>
    <t>Opciones populares con muchos contactos, visibles en Amazon/Cyberpuerta (Estudiante).</t>
  </si>
  <si>
    <t>No-Break Línea Interactiva (Gama Media-Alta)</t>
  </si>
  <si>
    <t>R-UPR 1508</t>
  </si>
  <si>
    <t>1500 VA / 900 W</t>
  </si>
  <si>
    <t>10-40 min</t>
  </si>
  <si>
    <t>Opción 1500VA económica de CDP. Popular en ML/Cyberpuerta (Desarrollador budget).</t>
  </si>
  <si>
    <t>CP1350AVRLCD / CP1500AVRLCD</t>
  </si>
  <si>
    <t>1350/1500 VA / 810/900 W</t>
  </si>
  <si>
    <t>10-45 min</t>
  </si>
  <si>
    <t>$2,500 / $2,800</t>
  </si>
  <si>
    <t>#1 UPS LI &gt;1000VA Más Vendido Amazon. Ideal para PCs gamer/workstations (Desarrollador).</t>
  </si>
  <si>
    <t>15019 USB/R</t>
  </si>
  <si>
    <t>Opción 1500VA popular de Koblenz (Desarrollador).</t>
  </si>
  <si>
    <t>Back-UPS BR1500MS2</t>
  </si>
  <si>
    <t>10-50 min</t>
  </si>
  <si>
    <t>Pura</t>
  </si>
  <si>
    <t>Opción APC 1500VA #1. Onda Pura ideal PSUs sensibles (Desarrollador/Micro-empresa).</t>
  </si>
  <si>
    <t>CST1500SULCD (Torre)</t>
  </si>
  <si>
    <t>5 (Bat+AVR+Sup)</t>
  </si>
  <si>
    <t>5 (Sup)</t>
  </si>
  <si>
    <t>Alternativa Onda Pura CyberPower (torre). Popular gama alta (Desarrollador/Micro-empresa).</t>
  </si>
  <si>
    <t>SMART1500LCD</t>
  </si>
  <si>
    <t>Opción 1500VA robusta Tripp Lite. Visible Amazon/especializadas.</t>
  </si>
  <si>
    <t>No-Break Línea Interactiva (Gama Alta / Servidor Básico)</t>
  </si>
  <si>
    <t>R-UPR 2008</t>
  </si>
  <si>
    <t>2000 VA / 1200 W</t>
  </si>
  <si>
    <t>5-25 min</t>
  </si>
  <si>
    <t>Opción &gt;1000W económica CDP. Popular ML/Cyberpuerta (Micro-empresa budget).</t>
  </si>
  <si>
    <t>CP2200AVRLCD</t>
  </si>
  <si>
    <t>2200 VA / 1320 W</t>
  </si>
  <si>
    <t>5-30 min</t>
  </si>
  <si>
    <t>Opción alta capacidad (&gt;1000W) más popular. Para PCs muy potentes (Desarrollador Pro/Micro-empresa).</t>
  </si>
  <si>
    <t>Back-UPS Pro BR2200MS</t>
  </si>
  <si>
    <t>Alternativa APC alta capacidad (&gt;1000W).</t>
  </si>
  <si>
    <t>OR1500LCDRT2U (Rack/Torre)</t>
  </si>
  <si>
    <t>Formato Rack/Torre. Muy popular servidores pequeños/red (Micro-empresa).</t>
  </si>
  <si>
    <t>PR1500LCDRTXL2U (Rack/Torre, Pura)</t>
  </si>
  <si>
    <t>1500 VA / 1500 W</t>
  </si>
  <si>
    <t>8 (Bat+AVR+Sup)</t>
  </si>
  <si>
    <t>Gama alta Rack/Torre Onda Pura. Equipo sensible (Micro-empresa crítica).</t>
  </si>
  <si>
    <t>No-Break Online (Doble Conversión)</t>
  </si>
  <si>
    <t>UPO11-1 AX / 1 kVA</t>
  </si>
  <si>
    <t>No-Break Online</t>
  </si>
  <si>
    <t>1000 VA / 900 W</t>
  </si>
  <si>
    <t>5-20 min</t>
  </si>
  <si>
    <t>UPS Online "entrada". Máxima protección económica (Micro-empresa servidor básico).</t>
  </si>
  <si>
    <t>OL1000RTXL2U (Rack/Torre)</t>
  </si>
  <si>
    <t>$9,000+</t>
  </si>
  <si>
    <t>UPS Online Rack/Torre popular. Protección nivel servidor (Micro-empresa crítica).</t>
  </si>
  <si>
    <t>Smart-UPS SRT 1000VA (SRT1000XLA)</t>
  </si>
  <si>
    <t>UPS Online líder mercado. Fiabilidad APC (Micro-empresa crítica).</t>
  </si>
  <si>
    <t>UPO11-2 AX / 2 kVA</t>
  </si>
  <si>
    <t>2000 VA / 1800 W</t>
  </si>
  <si>
    <t>UPS Online 2kVA económico CDP (Micro-empresa servidores).</t>
  </si>
  <si>
    <t>OL2000RTXL2U (Rack/Torre)</t>
  </si>
  <si>
    <t>$15,000+</t>
  </si>
  <si>
    <t>UPS Online 2kVA CyberPower (Micro-empresa servidores/red).</t>
  </si>
  <si>
    <t>Smart-UPS SRT 2200VA (SRT2200XLA)</t>
  </si>
  <si>
    <t>2200 VA / 1980 W</t>
  </si>
  <si>
    <t>6+</t>
  </si>
  <si>
    <t>6+ (Bat+AVR+Sup)</t>
  </si>
  <si>
    <t>$20,000+</t>
  </si>
  <si>
    <t>UPS Online 2.2kVA APC (Micro-empresa servidores/red crítica).</t>
  </si>
  <si>
    <t>UPO11-3 AX / 3 kVA</t>
  </si>
  <si>
    <t>3000 VA / 2700 W</t>
  </si>
  <si>
    <t>4+Hardwire</t>
  </si>
  <si>
    <t>4+ (Bat+AVR+Sup)</t>
  </si>
  <si>
    <t>&lt;10 min</t>
  </si>
  <si>
    <t>UPS Online 3kVA económico CDP (Micro-empresa múltiples servidores).</t>
  </si>
  <si>
    <t>OL3000RTXL2U (Rack/Torre)</t>
  </si>
  <si>
    <t>6+Hardwire</t>
  </si>
  <si>
    <t>UPS Online 3kVA CyberPower (Micro-empresa múltiples servidores/red).</t>
  </si>
  <si>
    <t>Smart-UPS SRT 3000VA (SRT3000XLA)</t>
  </si>
  <si>
    <t>$25,000+</t>
  </si>
  <si>
    <t>UPS Online 3kVA APC (Micro-empresa infraestructura crítica).</t>
  </si>
  <si>
    <t>10019 USB/R</t>
  </si>
  <si>
    <t>1000VA / 520W</t>
  </si>
  <si>
    <t>Opción 1000VA popular de Koblenz. Buen balance (Estudiante/Desarrollador).</t>
  </si>
  <si>
    <t>FURY Beast Black</t>
  </si>
  <si>
    <t>8GB</t>
  </si>
  <si>
    <t>1x8GB</t>
  </si>
  <si>
    <t>XPG Spectrix D35G</t>
  </si>
  <si>
    <t>ValueRAM (KVR)</t>
  </si>
  <si>
    <t>2666 / 3200</t>
  </si>
  <si>
    <t>Cyberpuerta</t>
  </si>
  <si>
    <t>CT8G4 (Basics)</t>
  </si>
  <si>
    <t>4GB</t>
  </si>
  <si>
    <t>1x4GB</t>
  </si>
  <si>
    <t>Premier (Verde)</t>
  </si>
  <si>
    <r>
      <t>Top 1 Ventas Módulos Individuales.</t>
    </r>
    <r>
      <rPr>
        <sz val="11"/>
        <color theme="1"/>
        <rFont val="Calibri"/>
        <family val="2"/>
        <scheme val="minor"/>
      </rPr>
      <t xml:space="preserve"> El estándar absoluto para quien arma una PC barata pieza por pieza.</t>
    </r>
  </si>
  <si>
    <r>
      <t>Líder RGB Económico.</t>
    </r>
    <r>
      <rPr>
        <sz val="11"/>
        <color theme="1"/>
        <rFont val="Calibri"/>
        <family val="2"/>
        <scheme val="minor"/>
      </rPr>
      <t xml:space="preserve"> El módulo de 8GB con luces más vendido. Muchos usuarios sacrifican rendimiento por estética; el algoritmo debe saber esto.</t>
    </r>
  </si>
  <si>
    <r>
      <t>Estándar Corporativo/Oficina.</t>
    </r>
    <r>
      <rPr>
        <sz val="11"/>
        <color theme="1"/>
        <rFont val="Calibri"/>
        <family val="2"/>
        <scheme val="minor"/>
      </rPr>
      <t xml:space="preserve"> Es la memoria verde sin disipador que domina en licitaciones y oficinas (Perfil Administrativo).</t>
    </r>
  </si>
  <si>
    <r>
      <t>Alternativa Premium.</t>
    </r>
    <r>
      <rPr>
        <sz val="11"/>
        <color theme="1"/>
        <rFont val="Calibri"/>
        <family val="2"/>
        <scheme val="minor"/>
      </rPr>
      <t xml:space="preserve"> Aunque es más cara, sigue en el Top de ventas por lealtad a la marca Corsair.</t>
    </r>
  </si>
  <si>
    <r>
      <t>Competidor de Precio.</t>
    </r>
    <r>
      <rPr>
        <sz val="11"/>
        <color theme="1"/>
        <rFont val="Calibri"/>
        <family val="2"/>
        <scheme val="minor"/>
      </rPr>
      <t xml:space="preserve"> Frecuentemente aparece como la opción de 8GB más barata de Amazon (Amazon Choice).</t>
    </r>
  </si>
  <si>
    <r>
      <t>Mínimo Absoluto.</t>
    </r>
    <r>
      <rPr>
        <sz val="11"/>
        <color theme="1"/>
        <rFont val="Calibri"/>
        <family val="2"/>
        <scheme val="minor"/>
      </rPr>
      <t xml:space="preserve"> Sigue vendiéndose para reparar equipos viejos o presupuestos de pobreza extrema (&lt;$4,000 MXN total).</t>
    </r>
  </si>
  <si>
    <r>
      <t>Competidor 4GB.</t>
    </r>
    <r>
      <rPr>
        <sz val="11"/>
        <color theme="1"/>
        <rFont val="Calibri"/>
        <family val="2"/>
        <scheme val="minor"/>
      </rPr>
      <t xml:space="preserve"> Alternativa directa a Kingston ValueRAM cuando hay escasez de stock.</t>
    </r>
  </si>
  <si>
    <t>DDR4 (Módulos de 8GB Y 4GB)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</si>
</sst>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b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9" tint="0.59999389629810485"/>
      </patternFill>
    </fill>
    <fill>
      <patternFill patternType="solid">
        <fgColor theme="9" tint="0.59999389629810485"/>
        <bgColor theme="9" tint="0.79998168889431442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6" fontId="1" fillId="5" borderId="0" xfId="0" applyNumberFormat="1" applyFont="1" applyFill="1" applyBorder="1" applyAlignment="1">
      <alignment horizontal="center" vertical="center"/>
    </xf>
    <xf numFmtId="0" fontId="1" fillId="8" borderId="0" xfId="0" applyFont="1" applyFill="1" applyBorder="1" applyAlignment="1">
      <alignment horizontal="center" vertical="center"/>
    </xf>
    <xf numFmtId="6" fontId="1" fillId="8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4" fillId="5" borderId="0" xfId="0" applyFont="1" applyFill="1" applyBorder="1" applyAlignment="1">
      <alignment horizontal="center" vertical="center" wrapText="1" readingOrder="1"/>
    </xf>
    <xf numFmtId="6" fontId="4" fillId="5" borderId="0" xfId="0" applyNumberFormat="1" applyFont="1" applyFill="1" applyBorder="1" applyAlignment="1">
      <alignment horizontal="center" vertical="center" wrapText="1" readingOrder="1"/>
    </xf>
    <xf numFmtId="0" fontId="4" fillId="8" borderId="0" xfId="0" applyFont="1" applyFill="1" applyBorder="1" applyAlignment="1">
      <alignment horizontal="center" vertical="center" wrapText="1" readingOrder="1"/>
    </xf>
    <xf numFmtId="6" fontId="4" fillId="8" borderId="0" xfId="0" applyNumberFormat="1" applyFont="1" applyFill="1" applyBorder="1" applyAlignment="1">
      <alignment horizontal="center" vertical="center" wrapText="1" readingOrder="1"/>
    </xf>
    <xf numFmtId="0" fontId="3" fillId="4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 readingOrder="1"/>
    </xf>
    <xf numFmtId="6" fontId="4" fillId="0" borderId="0" xfId="0" applyNumberFormat="1" applyFont="1" applyBorder="1" applyAlignment="1">
      <alignment horizontal="center" vertical="center" readingOrder="1"/>
    </xf>
    <xf numFmtId="0" fontId="4" fillId="5" borderId="0" xfId="0" applyFont="1" applyFill="1" applyBorder="1" applyAlignment="1">
      <alignment horizontal="center" vertical="center" readingOrder="1"/>
    </xf>
    <xf numFmtId="6" fontId="4" fillId="5" borderId="0" xfId="0" applyNumberFormat="1" applyFont="1" applyFill="1" applyBorder="1" applyAlignment="1">
      <alignment horizontal="center" vertical="center" readingOrder="1"/>
    </xf>
    <xf numFmtId="0" fontId="4" fillId="8" borderId="0" xfId="0" applyFont="1" applyFill="1" applyBorder="1" applyAlignment="1">
      <alignment horizontal="center" vertical="center" readingOrder="1"/>
    </xf>
    <xf numFmtId="6" fontId="4" fillId="8" borderId="0" xfId="0" applyNumberFormat="1" applyFont="1" applyFill="1" applyBorder="1" applyAlignment="1">
      <alignment horizontal="center" vertical="center" readingOrder="1"/>
    </xf>
    <xf numFmtId="0" fontId="5" fillId="7" borderId="0" xfId="0" applyFont="1" applyFill="1" applyBorder="1" applyAlignment="1">
      <alignment horizontal="center" vertical="center" readingOrder="1"/>
    </xf>
    <xf numFmtId="0" fontId="2" fillId="8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 readingOrder="1"/>
    </xf>
    <xf numFmtId="0" fontId="1" fillId="5" borderId="0" xfId="0" applyFont="1" applyFill="1" applyBorder="1" applyAlignment="1">
      <alignment horizontal="center" vertical="center"/>
    </xf>
    <xf numFmtId="0" fontId="2" fillId="0" borderId="0" xfId="0" applyFont="1"/>
    <xf numFmtId="0" fontId="5" fillId="0" borderId="0" xfId="0" applyFont="1" applyBorder="1" applyAlignment="1">
      <alignment horizontal="center" vertical="center" readingOrder="1"/>
    </xf>
    <xf numFmtId="0" fontId="1" fillId="0" borderId="0" xfId="0" applyFont="1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6" fontId="1" fillId="5" borderId="0" xfId="0" applyNumberFormat="1" applyFont="1" applyFill="1" applyBorder="1" applyAlignment="1">
      <alignment horizontal="center"/>
    </xf>
    <xf numFmtId="0" fontId="1" fillId="8" borderId="0" xfId="0" applyFont="1" applyFill="1" applyBorder="1" applyAlignment="1">
      <alignment horizontal="center"/>
    </xf>
    <xf numFmtId="6" fontId="1" fillId="8" borderId="0" xfId="0" applyNumberFormat="1" applyFont="1" applyFill="1" applyBorder="1" applyAlignment="1">
      <alignment horizontal="center"/>
    </xf>
    <xf numFmtId="16" fontId="1" fillId="8" borderId="0" xfId="0" applyNumberFormat="1" applyFont="1" applyFill="1" applyBorder="1" applyAlignment="1">
      <alignment horizontal="center" vertical="center"/>
    </xf>
    <xf numFmtId="16" fontId="1" fillId="5" borderId="0" xfId="0" applyNumberFormat="1" applyFont="1" applyFill="1" applyBorder="1" applyAlignment="1">
      <alignment horizontal="center" vertical="center"/>
    </xf>
    <xf numFmtId="16" fontId="4" fillId="8" borderId="0" xfId="0" applyNumberFormat="1" applyFont="1" applyFill="1" applyBorder="1" applyAlignment="1">
      <alignment horizontal="center" vertical="center" readingOrder="1"/>
    </xf>
    <xf numFmtId="0" fontId="5" fillId="8" borderId="0" xfId="0" applyFont="1" applyFill="1" applyBorder="1" applyAlignment="1">
      <alignment horizontal="center" vertical="center" readingOrder="1"/>
    </xf>
    <xf numFmtId="16" fontId="4" fillId="5" borderId="0" xfId="0" applyNumberFormat="1" applyFont="1" applyFill="1" applyBorder="1" applyAlignment="1">
      <alignment horizontal="center" vertical="center" readingOrder="1"/>
    </xf>
    <xf numFmtId="0" fontId="5" fillId="8" borderId="0" xfId="0" applyFont="1" applyFill="1" applyBorder="1" applyAlignment="1">
      <alignment horizontal="center" vertical="center" wrapText="1" readingOrder="1"/>
    </xf>
    <xf numFmtId="0" fontId="5" fillId="5" borderId="0" xfId="0" applyFont="1" applyFill="1" applyBorder="1" applyAlignment="1">
      <alignment horizontal="center" vertical="center" wrapText="1" readingOrder="1"/>
    </xf>
    <xf numFmtId="0" fontId="5" fillId="5" borderId="0" xfId="0" applyFont="1" applyFill="1" applyBorder="1" applyAlignment="1">
      <alignment horizontal="center" vertical="center" readingOrder="1"/>
    </xf>
    <xf numFmtId="0" fontId="5" fillId="2" borderId="0" xfId="0" applyFont="1" applyFill="1" applyBorder="1" applyAlignment="1">
      <alignment horizontal="center" vertical="center" readingOrder="1"/>
    </xf>
    <xf numFmtId="0" fontId="5" fillId="3" borderId="0" xfId="0" applyFont="1" applyFill="1" applyBorder="1" applyAlignment="1">
      <alignment horizontal="center" vertical="center" readingOrder="1"/>
    </xf>
    <xf numFmtId="0" fontId="6" fillId="7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center" vertical="center"/>
    </xf>
    <xf numFmtId="0" fontId="5" fillId="7" borderId="0" xfId="0" applyFont="1" applyFill="1" applyBorder="1" applyAlignment="1">
      <alignment horizontal="center" vertical="center" readingOrder="1"/>
    </xf>
    <xf numFmtId="0" fontId="5" fillId="6" borderId="0" xfId="0" applyFont="1" applyFill="1" applyBorder="1" applyAlignment="1">
      <alignment horizontal="center" vertical="center" readingOrder="1"/>
    </xf>
    <xf numFmtId="0" fontId="6" fillId="8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</cellXfs>
  <cellStyles count="1">
    <cellStyle name="Normal" xfId="0" builtinId="0"/>
  </cellStyles>
  <dxfs count="15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0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0" formatCode="&quot;$&quot;#,##0;[Red]\-&quot;$&quot;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1" formatCode="dd\-m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numFmt numFmtId="10" formatCode="&quot;$&quot;#,##0;[Red]\-&quot;$&quot;#,##0"/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0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0" formatCode="&quot;$&quot;#,##0;[Red]\-&quot;$&quot;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0" formatCode="&quot;$&quot;#,##0;[Red]\-&quot;$&quot;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numFmt numFmtId="10" formatCode="&quot;$&quot;#,##0;[Red]\-&quot;$&quot;#,##0"/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color rgb="FF1B1C1D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numFmt numFmtId="10" formatCode="&quot;$&quot;#,##0;[Red]\-&quot;$&quot;#,##0"/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center" vertical="center" textRotation="0" wrapText="1" indent="0" justifyLastLine="0" shrinkToFit="0" readingOrder="1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BB8A0DD-9C79-4FB5-9394-E203AAD37D37}" name="Tabla4" displayName="Tabla4" ref="A1:S38" totalsRowShown="0" headerRowDxfId="153" dataDxfId="152">
  <autoFilter ref="A1:S38" xr:uid="{0BB8A0DD-9C79-4FB5-9394-E203AAD37D37}"/>
  <tableColumns count="19">
    <tableColumn id="1" xr3:uid="{532E3353-937F-4A87-AB2A-5BE3C0BED41F}" name="ID" dataDxfId="151"/>
    <tableColumn id="2" xr3:uid="{741FF3FC-4658-4C62-9BFD-EFC02E44C2FF}" name="ID Binario" dataDxfId="150">
      <calculatedColumnFormula>TEXT(DEC2BIN(A2,6),"000000")</calculatedColumnFormula>
    </tableColumn>
    <tableColumn id="3" xr3:uid="{5BEC1CCA-CB55-452A-83F6-3A8ECB08225A}" name="Nivel de Ventas" dataDxfId="149"/>
    <tableColumn id="4" xr3:uid="{716869C4-A889-48D1-BBF7-346BF04F7B61}" name="Modelo / Serie" dataDxfId="148"/>
    <tableColumn id="5" xr3:uid="{389DD85C-82E2-453B-8A43-8DDA45AEFD14}" name="Socket" dataDxfId="147"/>
    <tableColumn id="6" xr3:uid="{B1BB5A51-D782-4BB8-9951-6605A7D11DAF}" name="Chipset" dataDxfId="146"/>
    <tableColumn id="7" xr3:uid="{8449DCAA-6B9D-4462-B37F-797D69AF6C87}" name="Formato" dataDxfId="145"/>
    <tableColumn id="8" xr3:uid="{DF53A25B-E8E9-48B4-883C-83063E322388}" name="Soporte RAM" dataDxfId="144"/>
    <tableColumn id="9" xr3:uid="{FA604BC3-11F3-4B04-996C-F9824E64AF86}" name="M.2 Slots" dataDxfId="143"/>
    <tableColumn id="10" xr3:uid="{BE6DF831-4991-411D-999B-080E9FDDFE82}" name="Puertos SATA" dataDxfId="142"/>
    <tableColumn id="11" xr3:uid="{30D03CAD-20F0-46EA-9DAB-1F50BE6AAB8B}" name="PCIe x16 Primario" dataDxfId="141"/>
    <tableColumn id="12" xr3:uid="{D52A7D74-15CD-4615-BC57-88CA42D37617}" name="PCIe x16 Totales" dataDxfId="140"/>
    <tableColumn id="13" xr3:uid="{F8E31298-BCDE-43C7-A784-97EFDD0516F0}" name="Headers Fans (SYS_FAN)" dataDxfId="139"/>
    <tableColumn id="14" xr3:uid="{FF17308B-A842-4342-88C3-13EAC75F066E}" name="Headers ARGB (3-pin 5V)" dataDxfId="138"/>
    <tableColumn id="15" xr3:uid="{FFC0755E-7334-411C-9B9F-B237A293A9FB}" name="Headers RGB (4-pin 12V)" dataDxfId="137"/>
    <tableColumn id="16" xr3:uid="{D588C21C-CF1B-47EF-B676-422CE42CA33B}" name="Conector CPU (Poder)" dataDxfId="136"/>
    <tableColumn id="17" xr3:uid="{14BF5CBD-8AA5-41E0-A36B-06525FDB8163}" name="Tienda (Mejor Precio)" dataDxfId="135"/>
    <tableColumn id="18" xr3:uid="{FB1CF1A0-AA0E-4484-906A-E51E23DD47F1}" name="Mejor Precio (MXN)" dataDxfId="134"/>
    <tableColumn id="19" xr3:uid="{4327E2D5-3267-450A-B96F-615BD13746EF}" name="Justificación" dataDxfId="133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80C4569-6BF3-4677-B21E-A9E606EBE4F7}" name="Tabla3" displayName="Tabla3" ref="A1:O48" totalsRowShown="0" headerRowDxfId="132" dataDxfId="131">
  <autoFilter ref="A1:O48" xr:uid="{480C4569-6BF3-4677-B21E-A9E606EBE4F7}"/>
  <tableColumns count="15">
    <tableColumn id="1" xr3:uid="{7D367A91-A453-48F9-AD60-376A75B06AD9}" name="ID"/>
    <tableColumn id="2" xr3:uid="{FA02337A-60AC-4A55-8143-DA79A424D305}" name="ID Binario">
      <calculatedColumnFormula>TEXT(DEC2BIN(A2,6),"000000")</calculatedColumnFormula>
    </tableColumn>
    <tableColumn id="3" xr3:uid="{F2D61E90-84DD-4A53-94F9-10F2931766A7}" name="Nivel de Ventas"/>
    <tableColumn id="4" xr3:uid="{A01FAFD6-A835-4A63-B8B6-E5CB9DC90E44}" name="Marca"/>
    <tableColumn id="15" xr3:uid="{B5B9D34B-AE4E-49C9-84B4-E79C4E73F215}" name="Modelo/Serie"/>
    <tableColumn id="14" xr3:uid="{D267BF59-9330-42B7-AE35-5315D8261E47}" name="Socket"/>
    <tableColumn id="5" xr3:uid="{F4FADB2F-C95A-48AE-BB6B-0EF9FBDFE880}" name="Núcleos / Hilos" dataDxfId="130"/>
    <tableColumn id="6" xr3:uid="{206B79B1-1EA2-46DE-8827-BC97A33A81C1}" name="Frecuencia (Base/Boost)" dataDxfId="129"/>
    <tableColumn id="7" xr3:uid="{F8A6B31C-6E2F-45CD-965F-6972D17DEB41}" name="Overclocking" dataDxfId="128"/>
    <tableColumn id="13" xr3:uid="{6F1F8C2F-C087-474A-994B-14D37308E478}" name="Ventilador Incluido" dataDxfId="127"/>
    <tableColumn id="8" xr3:uid="{90A1458C-B6BD-4E71-86AD-9DC6A16902B4}" name="Gráficos Integrados" dataDxfId="126"/>
    <tableColumn id="9" xr3:uid="{0BA7DD74-2607-47A0-95FC-F49660C2D6EA}" name="Caché L3" dataDxfId="125"/>
    <tableColumn id="10" xr3:uid="{2A221DAB-F5F5-4198-94A8-C04FC7D6023D}" name="Mejor Precio (MXN)" dataDxfId="124"/>
    <tableColumn id="11" xr3:uid="{83A9180D-31EF-4505-8454-A86299587424}" name="Tienda (Mejor Precio)" dataDxfId="123"/>
    <tableColumn id="12" xr3:uid="{D5E1D45E-29E9-4C32-AFCB-08061DE02A09}" name="Justificación (Por qué está en la lista)" dataDxfId="122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CFE8FF3-2F3F-49EC-BCF4-3315F0630F60}" name="Tabla5" displayName="Tabla5" ref="A1:P43" totalsRowShown="0" headerRowDxfId="121" dataDxfId="120">
  <autoFilter ref="A1:P43" xr:uid="{ECFE8FF3-2F3F-49EC-BCF4-3315F0630F60}"/>
  <tableColumns count="16">
    <tableColumn id="1" xr3:uid="{222060E1-B8FA-4342-9BAC-7E0193A78DFC}" name="ID" dataDxfId="119"/>
    <tableColumn id="2" xr3:uid="{EF7E29B3-78BE-4648-8043-703B66CA6568}" name="ID Binario" dataDxfId="118">
      <calculatedColumnFormula>TEXT(DEC2BIN(A2,6),"000000")</calculatedColumnFormula>
    </tableColumn>
    <tableColumn id="3" xr3:uid="{A5EF9F9A-7B45-4E59-A095-09476F951D81}" name="Nivel de Ventas" dataDxfId="117"/>
    <tableColumn id="4" xr3:uid="{837AA045-0CCA-4C17-960A-5E553E26A28A}" name="Marca (Ensamblador)" dataDxfId="116"/>
    <tableColumn id="5" xr3:uid="{5E2A024C-1803-4037-9EC1-47EA0A4C37F1}" name="Modelo Específico (SKU)" dataDxfId="115"/>
    <tableColumn id="6" xr3:uid="{7747CCE7-6CF8-44D3-918C-78240EF76BB4}" name="Chipset (GPU)" dataDxfId="114"/>
    <tableColumn id="7" xr3:uid="{A89EA24E-6719-4112-988D-4904261B3793}" name="VRAM (GB)" dataDxfId="113"/>
    <tableColumn id="8" xr3:uid="{FEDE0BC0-ACE1-46E2-BB43-D2FC87553597}" name="Tipo VRAM" dataDxfId="112"/>
    <tableColumn id="9" xr3:uid="{4CCBEC24-50FF-4EF8-A5D3-396C6A95801A}" name="Interfaz PCIe" dataDxfId="111"/>
    <tableColumn id="10" xr3:uid="{B91D3DDA-AB7F-4EC8-AF06-2F52742A913A}" name="Consumo (TDP/TBP)" dataDxfId="110"/>
    <tableColumn id="11" xr3:uid="{B68F31F2-EAAB-424F-9F49-B365167B5F09}" name="Conectores de Poder" dataDxfId="109"/>
    <tableColumn id="12" xr3:uid="{3EB7E572-66CC-4B5D-B66B-8FE63650592C}" name="Longitud (mm)" dataDxfId="108"/>
    <tableColumn id="13" xr3:uid="{3BFD5210-1905-480D-8819-B226BF7A4D03}" name="Altura (Slots)" dataDxfId="107"/>
    <tableColumn id="14" xr3:uid="{8D7EDF24-1B64-45BD-9341-62B8393E91D5}" name="Tienda (Mejor Precio)" dataDxfId="106"/>
    <tableColumn id="15" xr3:uid="{780FAFD8-F22E-43FC-B431-A34F1C2D05AF}" name="Mejor Precio (MXN)" dataDxfId="105"/>
    <tableColumn id="16" xr3:uid="{805D3029-E62D-44DA-B91A-37DF5FCC5F66}" name="Justificación (Por qué está en la lista)" dataDxfId="104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CA0078-0D52-4920-8844-7811DE9A0D39}" name="Tabla2" displayName="Tabla2" ref="A1:M44" totalsRowShown="0" headerRowDxfId="103" dataDxfId="102">
  <autoFilter ref="A1:M44" xr:uid="{CFCA0078-0D52-4920-8844-7811DE9A0D39}"/>
  <tableColumns count="13">
    <tableColumn id="1" xr3:uid="{7A317E5B-9164-4A24-A07A-761A83B2F56F}" name="ID" dataDxfId="101"/>
    <tableColumn id="2" xr3:uid="{EF6DE9E1-1F42-4593-82F7-0C1F65C7B21E}" name="Binario" dataDxfId="100">
      <calculatedColumnFormula>TEXT(DEC2BIN(A2,6),"000000")</calculatedColumnFormula>
    </tableColumn>
    <tableColumn id="3" xr3:uid="{C3AFF6BF-D013-495E-AED5-DA9E29D0060F}" name="Nivel de Ventas" dataDxfId="99"/>
    <tableColumn id="4" xr3:uid="{3A2B5313-A66C-4C5D-968C-496127E7ECFE}" name="Marca" dataDxfId="98"/>
    <tableColumn id="5" xr3:uid="{510CDD08-34D0-4F35-957E-C182D9F89F15}" name="Modelo / Serie" dataDxfId="97"/>
    <tableColumn id="6" xr3:uid="{9BA55234-B138-486F-B782-E77D7A5101CB}" name="Tipo" dataDxfId="96"/>
    <tableColumn id="7" xr3:uid="{43733E2B-1139-4DB3-BD8E-6F49B547BE7D}" name="Capacidad Total (GB)" dataDxfId="95"/>
    <tableColumn id="8" xr3:uid="{75C7A2ED-8F79-4E3C-A1A9-C1922EF3FE2B}" name="Kit (Módulos)" dataDxfId="94"/>
    <tableColumn id="9" xr3:uid="{47B93516-E747-4242-A9B0-D0AAF94390FD}" name="Velocidad (MT/s)" dataDxfId="93"/>
    <tableColumn id="10" xr3:uid="{8C6ADE1E-6622-4F5C-9455-D8998D56B04F}" name="Latencia (CL)" dataDxfId="92"/>
    <tableColumn id="11" xr3:uid="{FC9A4940-30A7-4C82-AF48-3B65F70172DB}" name="Mejor Precio (MXN)" dataDxfId="91"/>
    <tableColumn id="12" xr3:uid="{D644E862-E91E-48DA-89C3-D3EC5B6F43FB}" name="Tienda (Mejor Precio)" dataDxfId="90"/>
    <tableColumn id="13" xr3:uid="{ED871D18-4DF4-4A5B-B07A-9164116B0DF3}" name="Justificación (Por qué está en la lista)" dataDxfId="89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83C1E56-7E39-4624-8B13-D886263E9BFC}" name="Tabla7" displayName="Tabla7" ref="A1:M57" totalsRowShown="0" headerRowDxfId="88" dataDxfId="87">
  <autoFilter ref="A1:M57" xr:uid="{B83C1E56-7E39-4624-8B13-D886263E9BFC}"/>
  <tableColumns count="13">
    <tableColumn id="1" xr3:uid="{A7C23F32-764D-4A56-B624-E8A7C333A718}" name="ID" dataDxfId="86"/>
    <tableColumn id="2" xr3:uid="{95FFB029-D6F7-4C4A-96E0-8921074DEEEE}" name="ID Binario" dataDxfId="85">
      <calculatedColumnFormula>TEXT(DEC2BIN(A2,6),"000000")</calculatedColumnFormula>
    </tableColumn>
    <tableColumn id="3" xr3:uid="{530C67DD-D4DB-4A13-B45E-9F60A2AF16D4}" name="Nivel de Ventas" dataDxfId="84"/>
    <tableColumn id="4" xr3:uid="{7A2342E3-3F94-4FBC-A42C-94511723A02D}" name="Marca" dataDxfId="83"/>
    <tableColumn id="5" xr3:uid="{5899044B-2944-4B46-BDFD-E68BE481FF11}" name="Modelo / Serie" dataDxfId="82"/>
    <tableColumn id="6" xr3:uid="{298269AC-7547-44D1-AAC5-4C268D88B48A}" name="Tipo" dataDxfId="81"/>
    <tableColumn id="7" xr3:uid="{249D194D-73F3-4B6A-B587-BF1086D062C5}" name="Capacidad" dataDxfId="80"/>
    <tableColumn id="8" xr3:uid="{9E6196D1-3CC8-4F64-A6B7-3F342A960515}" name="Vel. Lectura (MB/s)" dataDxfId="79"/>
    <tableColumn id="9" xr3:uid="{87036D13-66C3-461E-93DC-DC98F35144FD}" name="Vel. Escritura (MB/s)" dataDxfId="78"/>
    <tableColumn id="10" xr3:uid="{04C62D7F-10BB-4F59-B695-1BA30EF450EA}" name="Interfaz" dataDxfId="77"/>
    <tableColumn id="11" xr3:uid="{054B8FA1-55E9-4014-896D-02A5B0B60BB3}" name="Tienda (Mejor Precio)" dataDxfId="76"/>
    <tableColumn id="12" xr3:uid="{813080BC-0B0C-4D45-BE96-B71A4D03A017}" name="Mejor Precio (MXN)" dataDxfId="75"/>
    <tableColumn id="13" xr3:uid="{FB738181-2FFE-4447-8D1D-CCA3CDD7EFA3}" name="Justificación Específica (Fuente/Ranking/Perfil)" dataDxfId="74"/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315C2C-6A0F-44A5-B84F-D29821DFE8A4}" name="Tabla1" displayName="Tabla1" ref="A1:M26" totalsRowShown="0" headerRowDxfId="73" dataDxfId="72">
  <autoFilter ref="A1:M26" xr:uid="{11315C2C-6A0F-44A5-B84F-D29821DFE8A4}"/>
  <tableColumns count="13">
    <tableColumn id="1" xr3:uid="{4A071837-0092-4820-8BF7-9EC422CA84F6}" name="ID" dataDxfId="71"/>
    <tableColumn id="2" xr3:uid="{BFF8422A-C449-4E5F-9DE9-D5AC26CC2DB0}" name="ID Binario" dataDxfId="70">
      <calculatedColumnFormula>TEXT(DEC2BIN(A2,6),"000000")</calculatedColumnFormula>
    </tableColumn>
    <tableColumn id="3" xr3:uid="{9085DB5A-C2D5-497F-B64D-E8F5E5B9C99C}" name="Nivel de Ventas" dataDxfId="69"/>
    <tableColumn id="4" xr3:uid="{C5EE09BC-F081-448E-8AE3-7E0A61E1641F}" name="Marca" dataDxfId="68"/>
    <tableColumn id="5" xr3:uid="{A97966D7-C085-4B32-AA3E-F524AE507DC6}" name="Modelo / Serie" dataDxfId="67"/>
    <tableColumn id="6" xr3:uid="{E4405E76-D9C9-47A7-9F04-6FEF5B193632}" name="Tipo" dataDxfId="66"/>
    <tableColumn id="7" xr3:uid="{4B6C1668-ECCC-46C0-8A06-2BD30AC79A88}" name="Compatibilidad Socket" dataDxfId="65"/>
    <tableColumn id="8" xr3:uid="{7D030D15-C791-42E9-96FC-44D7006B1DBD}" name="TDP Máx. (Aprox W)" dataDxfId="64"/>
    <tableColumn id="9" xr3:uid="{8F00EBCB-5950-4910-9BAE-77EE6F29FAC2}" name="Tamaño Fan(s) (mm) / Rad (mm)" dataDxfId="63"/>
    <tableColumn id="10" xr3:uid="{AA767A65-0C79-49B8-9D90-F5F0E767A36C}" name="RGB" dataDxfId="62"/>
    <tableColumn id="11" xr3:uid="{96444194-34E1-4A89-8E4A-9AD9F85B0E1F}" name="Tienda (Mejor Precio)" dataDxfId="61"/>
    <tableColumn id="12" xr3:uid="{D6B13C7B-7218-4103-8B38-6AD0FA767442}" name="Mejor Precio (MXN)" dataDxfId="60"/>
    <tableColumn id="13" xr3:uid="{824433E9-5FF1-441C-B706-92873956927F}" name="Justificación Específica (Fuente/Ranking/Perfil)" dataDxfId="59"/>
  </tableColumns>
  <tableStyleInfo name="TableStyleMedium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8E85254-D888-4161-AADF-8F076A65D7F8}" name="Tabla6" displayName="Tabla6" ref="A1:N59" totalsRowShown="0" headerRowDxfId="58" dataDxfId="57">
  <autoFilter ref="A1:N59" xr:uid="{B8E85254-D888-4161-AADF-8F076A65D7F8}"/>
  <tableColumns count="14">
    <tableColumn id="1" xr3:uid="{B235D036-7BDA-4DC0-9771-DB323719DE2B}" name="ID" dataDxfId="56"/>
    <tableColumn id="2" xr3:uid="{188E7AE6-727A-4591-A3D9-FE733BD24C70}" name="ID Binario" dataDxfId="55">
      <calculatedColumnFormula>TEXT(DEC2BIN(A2,6),"000000")</calculatedColumnFormula>
    </tableColumn>
    <tableColumn id="3" xr3:uid="{41EC2737-5A1C-4649-86D9-7EDF3FC04BB2}" name="Nivel de Ventas" dataDxfId="54"/>
    <tableColumn id="4" xr3:uid="{76682AE4-018E-4E17-9FC4-5A92615F67E2}" name="Marca" dataDxfId="53"/>
    <tableColumn id="5" xr3:uid="{FEDA26A7-FF20-4C50-AC4D-0EA9F4383982}" name="Modelo / Serie" dataDxfId="52"/>
    <tableColumn id="6" xr3:uid="{EC34EA56-FE3F-48CC-A6E4-29984856D508}" name="Potencia (W)" dataDxfId="51"/>
    <tableColumn id="7" xr3:uid="{74BA88C0-C524-45FD-BC27-DFCE85760051}" name="Cert. 80+" dataDxfId="50"/>
    <tableColumn id="8" xr3:uid="{4EFDB4FF-FC8F-458A-9E04-C7FF302B4861}" name="Mod." dataDxfId="49"/>
    <tableColumn id="9" xr3:uid="{25431E44-9DB0-43EA-A792-9756E00A2EDF}" name="Formato" dataDxfId="48"/>
    <tableColumn id="10" xr3:uid="{D7DB1B7D-CD4E-48F6-A1E2-3ADC7E0B7955}" name="CPU (EPS)" dataDxfId="47"/>
    <tableColumn id="11" xr3:uid="{2B72E7F4-9B29-4FAD-B44D-87EA20FB20F6}" name="PCIe (GPU)" dataDxfId="46"/>
    <tableColumn id="12" xr3:uid="{68F0163E-42C6-4B49-A4D0-D5B5CC53B753}" name="Tienda (Mejor Precio)" dataDxfId="45"/>
    <tableColumn id="13" xr3:uid="{27F5581D-1B6D-46F6-A3F6-E9CAAC811E1D}" name="Mejor Precio (MXN)" dataDxfId="44"/>
    <tableColumn id="14" xr3:uid="{E8C7EC50-81B7-40D9-A7AC-F7214C580C4A}" name="Justificación Específica (Fuente/Ranking/Perfil)" dataDxfId="43"/>
  </tableColumns>
  <tableStyleInfo name="TableStyleMedium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9C787AD-0B31-4623-8C05-9D3D73161A5C}" name="Tabla8" displayName="Tabla8" ref="A1:V47" totalsRowShown="0" headerRowDxfId="42" dataDxfId="41">
  <autoFilter ref="A1:V47" xr:uid="{19C787AD-0B31-4623-8C05-9D3D73161A5C}"/>
  <tableColumns count="22">
    <tableColumn id="1" xr3:uid="{DD2E1228-918B-4E48-B6FE-55AE1FDE57B3}" name="ID" dataDxfId="40"/>
    <tableColumn id="2" xr3:uid="{E3BF074F-642F-4BB3-91FB-4DDEE292E562}" name="ID Binario" dataDxfId="39">
      <calculatedColumnFormula>TEXT(DEC2BIN(A2,6),"000000")</calculatedColumnFormula>
    </tableColumn>
    <tableColumn id="3" xr3:uid="{34C78D21-47B1-45FC-B571-011F16DA3895}" name="Nivel de Ventas" dataDxfId="38"/>
    <tableColumn id="4" xr3:uid="{99446FFE-713F-4409-89D9-C4EA23A7D677}" name="Marca" dataDxfId="37"/>
    <tableColumn id="5" xr3:uid="{7253C591-754F-4492-AC90-0304B9283F07}" name="Modelo Específico" dataDxfId="36"/>
    <tableColumn id="6" xr3:uid="{1A6677A1-8D18-48D9-940E-039DA7F168ED}" name="Formato" dataDxfId="35"/>
    <tableColumn id="7" xr3:uid="{95D87803-81CC-44DD-B7AC-B576C9935644}" name="MB Soporte" dataDxfId="34"/>
    <tableColumn id="8" xr3:uid="{E6A9E6E6-77EF-42E3-80BD-ABBDF17D205C}" name="Fans Incl." dataDxfId="33"/>
    <tableColumn id="9" xr3:uid="{8C31B475-1E11-4323-8E60-D835522F2614}" name="Soporte Rad. (Max)" dataDxfId="32"/>
    <tableColumn id="10" xr3:uid="{80C197FA-6747-4FF8-B47B-B2D61E614C2D}" name="Bahías 3.5&quot;/2.5&quot;" dataDxfId="31"/>
    <tableColumn id="11" xr3:uid="{B9BAA8C9-13F6-4993-AE7F-A7B88372E6E3}" name="GPU Long. (Max)" dataDxfId="30"/>
    <tableColumn id="12" xr3:uid="{4FAB23EC-6C12-4DB7-9A8B-3724B767B5C7}" name="CPU Altura (Max)" dataDxfId="29"/>
    <tableColumn id="13" xr3:uid="{2292DB59-1ED7-4993-8A06-0B24BB562A13}" name="PSU Formato/Long.(Max)" dataDxfId="28"/>
    <tableColumn id="14" xr3:uid="{83A3EEED-6CFD-497F-BE44-B1CC0724BF1A}" name="Panel Frontal I/O" dataDxfId="27"/>
    <tableColumn id="15" xr3:uid="{657BA4B5-F94C-4BCB-B193-FAF56D9803A4}" name="G. Cables" dataDxfId="26"/>
    <tableColumn id="16" xr3:uid="{70DD43B3-BA00-4D1D-B0B7-286F4B1825E9}" name="F. Polvo" dataDxfId="25"/>
    <tableColumn id="17" xr3:uid="{69BED0DA-0F83-42C4-A7B0-FCB620E48A7D}" name="P. Lat." dataDxfId="24"/>
    <tableColumn id="18" xr3:uid="{6ACDCCD3-93C6-4F45-8BC0-212DBF37B4ED}" name="B. Extra" dataDxfId="23"/>
    <tableColumn id="19" xr3:uid="{C7500192-CBD4-40AB-B445-36546D96562E}" name="PCIe Slots (Tipo)" dataDxfId="22"/>
    <tableColumn id="20" xr3:uid="{640D0C49-6A8E-416B-AC6C-8960544F50B6}" name="Tienda (Mejor Precio)" dataDxfId="21"/>
    <tableColumn id="21" xr3:uid="{DA864D05-EF78-461D-8CE9-BE143B43F119}" name="Mejor Precio (MXN)" dataDxfId="20"/>
    <tableColumn id="22" xr3:uid="{0D751A1F-BADD-4C0E-88FF-DCDD3FC5F3E3}" name="Justificación Específica (Fuente/Ranking/Perfil)" dataDxfId="19"/>
  </tableColumns>
  <tableStyleInfo name="TableStyleMedium1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98D60F1-A1FA-4B56-A245-1999009242E4}" name="Tabla10" displayName="Tabla10" ref="A1:Q36" totalsRowShown="0" headerRowDxfId="18" dataDxfId="17">
  <autoFilter ref="A1:Q36" xr:uid="{F98D60F1-A1FA-4B56-A245-1999009242E4}"/>
  <tableColumns count="17">
    <tableColumn id="1" xr3:uid="{5A5E0C57-6232-49FF-B6B3-308A1E1DB32C}" name="ID" dataDxfId="16"/>
    <tableColumn id="2" xr3:uid="{000DFA83-C31D-4168-9B38-C0FC9A4D4F11}" name="ID Binario" dataDxfId="15">
      <calculatedColumnFormula>TEXT(DEC2BIN(A2,6),"000000")</calculatedColumnFormula>
    </tableColumn>
    <tableColumn id="3" xr3:uid="{DEFCA0C0-839C-45D2-8319-3491F518857F}" name="Nivel de Ventas" dataDxfId="14"/>
    <tableColumn id="4" xr3:uid="{DDA5774F-CF6B-4163-B565-87794629D6C0}" name="Marca" dataDxfId="13"/>
    <tableColumn id="5" xr3:uid="{62A23538-A3FE-4A25-ACFA-DCD39A996FA7}" name="Modelo Específico" dataDxfId="12"/>
    <tableColumn id="6" xr3:uid="{FBEF1C9C-F5C1-4D38-9ED4-B864431B5717}" name="Tipo" dataDxfId="11"/>
    <tableColumn id="7" xr3:uid="{E8E881AA-E2F8-431D-99ED-C589132619A4}" name="Capacidad (VA / W)" dataDxfId="10"/>
    <tableColumn id="8" xr3:uid="{7D7BCF82-8EF2-4FCF-88C3-05933A40A34F}" name="Cont. Total" dataDxfId="9"/>
    <tableColumn id="9" xr3:uid="{072A13B7-8BE2-4EF0-9D32-EF7059756FA6}" name="Cont. Bat+Reg+Sup" dataDxfId="8"/>
    <tableColumn id="10" xr3:uid="{6DC13E72-39BA-47F9-8F0C-2514D32737C9}" name="Cont. Reg+Sup" dataDxfId="7"/>
    <tableColumn id="11" xr3:uid="{B21EEC48-5B9A-4A04-BF48-F1EAFA428250}" name="Cont. Sup Solo" dataDxfId="6"/>
    <tableColumn id="12" xr3:uid="{1CD8FAD2-F663-4A7D-9085-CD7FABA6EBAD}" name="AVR" dataDxfId="5"/>
    <tableColumn id="13" xr3:uid="{2052AA86-E62D-444C-8D5A-0BE557B171CF}" name="T. Respaldo (Estimado)" dataDxfId="4"/>
    <tableColumn id="14" xr3:uid="{5968713D-CD40-4BE9-9FD6-356739507A10}" name="Forma Onda" dataDxfId="3"/>
    <tableColumn id="15" xr3:uid="{B0D8C614-A78B-420A-B9B8-A6E8D2006086}" name="Tienda" dataDxfId="2"/>
    <tableColumn id="16" xr3:uid="{56D2D216-EEC9-4E1E-9976-EBA836030615}" name="Precio (MXN)" dataDxfId="1"/>
    <tableColumn id="17" xr3:uid="{E6A5CEB6-7425-4848-B039-E8847837440A}" name="Justificación Específica (Fuente/Ranking/Perfil)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D9FE0-5F1E-4A60-82E2-8FC0322A4843}">
  <dimension ref="A1:T38"/>
  <sheetViews>
    <sheetView tabSelected="1" zoomScaleNormal="100" workbookViewId="0">
      <selection activeCell="S26" sqref="S26"/>
    </sheetView>
  </sheetViews>
  <sheetFormatPr baseColWidth="10" defaultColWidth="11.42578125" defaultRowHeight="15" x14ac:dyDescent="0.25"/>
  <cols>
    <col min="1" max="1" width="10.5703125" style="8" bestFit="1" customWidth="1"/>
    <col min="2" max="2" width="19.140625" style="8" bestFit="1" customWidth="1"/>
    <col min="3" max="3" width="25.85546875" style="8" bestFit="1" customWidth="1"/>
    <col min="4" max="4" width="38.42578125" style="8" bestFit="1" customWidth="1"/>
    <col min="5" max="5" width="16.28515625" style="8" bestFit="1" customWidth="1"/>
    <col min="6" max="6" width="16.85546875" style="8" bestFit="1" customWidth="1"/>
    <col min="7" max="7" width="17.42578125" style="8" bestFit="1" customWidth="1"/>
    <col min="8" max="8" width="23" style="8" bestFit="1" customWidth="1"/>
    <col min="9" max="9" width="18.7109375" style="8" bestFit="1" customWidth="1"/>
    <col min="10" max="10" width="24" style="8" bestFit="1" customWidth="1"/>
    <col min="11" max="11" width="27.85546875" style="8" bestFit="1" customWidth="1"/>
    <col min="12" max="12" width="27.140625" style="8" bestFit="1" customWidth="1"/>
    <col min="13" max="14" width="37.42578125" style="8" bestFit="1" customWidth="1"/>
    <col min="15" max="15" width="36.85546875" style="8" bestFit="1" customWidth="1"/>
    <col min="16" max="16" width="33.5703125" style="8" bestFit="1" customWidth="1"/>
    <col min="17" max="17" width="32.5703125" style="8" bestFit="1" customWidth="1"/>
    <col min="18" max="18" width="30" style="8" bestFit="1" customWidth="1"/>
    <col min="19" max="19" width="74.28515625" style="8" bestFit="1" customWidth="1"/>
    <col min="20" max="20" width="18.42578125" style="8" bestFit="1" customWidth="1"/>
    <col min="21" max="16384" width="11.42578125" style="8"/>
  </cols>
  <sheetData>
    <row r="1" spans="1:20" x14ac:dyDescent="0.25">
      <c r="A1" s="7" t="s">
        <v>0</v>
      </c>
      <c r="B1" s="7" t="s">
        <v>1</v>
      </c>
      <c r="C1" s="7" t="s">
        <v>2</v>
      </c>
      <c r="D1" s="7" t="s">
        <v>84</v>
      </c>
      <c r="E1" s="7" t="s">
        <v>217</v>
      </c>
      <c r="F1" s="7" t="s">
        <v>269</v>
      </c>
      <c r="G1" s="7" t="s">
        <v>270</v>
      </c>
      <c r="H1" s="7" t="s">
        <v>271</v>
      </c>
      <c r="I1" s="7" t="s">
        <v>272</v>
      </c>
      <c r="J1" s="7" t="s">
        <v>302</v>
      </c>
      <c r="K1" s="7" t="s">
        <v>303</v>
      </c>
      <c r="L1" s="7" t="s">
        <v>304</v>
      </c>
      <c r="M1" s="7" t="s">
        <v>305</v>
      </c>
      <c r="N1" s="7" t="s">
        <v>306</v>
      </c>
      <c r="O1" s="7" t="s">
        <v>307</v>
      </c>
      <c r="P1" s="7" t="s">
        <v>273</v>
      </c>
      <c r="Q1" s="7" t="s">
        <v>91</v>
      </c>
      <c r="R1" s="7" t="s">
        <v>90</v>
      </c>
      <c r="S1" s="7" t="s">
        <v>308</v>
      </c>
      <c r="T1" s="7"/>
    </row>
    <row r="2" spans="1:20" x14ac:dyDescent="0.25">
      <c r="A2" s="9">
        <v>0</v>
      </c>
      <c r="B2" s="9" t="str">
        <f>TEXT(DEC2BIN(A2,6),"000000")</f>
        <v>000000</v>
      </c>
      <c r="C2" s="9" t="s">
        <v>94</v>
      </c>
      <c r="D2" s="9" t="s">
        <v>309</v>
      </c>
      <c r="E2" s="9" t="s">
        <v>219</v>
      </c>
      <c r="F2" s="9" t="s">
        <v>276</v>
      </c>
      <c r="G2" s="9" t="s">
        <v>277</v>
      </c>
      <c r="H2" s="9" t="s">
        <v>97</v>
      </c>
      <c r="I2" s="9">
        <v>2</v>
      </c>
      <c r="J2" s="9">
        <v>4</v>
      </c>
      <c r="K2" s="9" t="s">
        <v>310</v>
      </c>
      <c r="L2" s="9">
        <v>1</v>
      </c>
      <c r="M2" s="9">
        <v>2</v>
      </c>
      <c r="N2" s="9">
        <v>2</v>
      </c>
      <c r="O2" s="9">
        <v>1</v>
      </c>
      <c r="P2" s="9" t="s">
        <v>278</v>
      </c>
      <c r="Q2" s="9" t="s">
        <v>100</v>
      </c>
      <c r="R2" s="10">
        <v>2400</v>
      </c>
      <c r="S2" s="9" t="s">
        <v>311</v>
      </c>
      <c r="T2" s="38" t="s">
        <v>274</v>
      </c>
    </row>
    <row r="3" spans="1:20" x14ac:dyDescent="0.25">
      <c r="A3" s="9">
        <v>1</v>
      </c>
      <c r="B3" s="9" t="str">
        <f t="shared" ref="B3:B38" si="0">TEXT(DEC2BIN(A3,6),"000000")</f>
        <v>000001</v>
      </c>
      <c r="C3" s="9" t="s">
        <v>94</v>
      </c>
      <c r="D3" s="9" t="s">
        <v>312</v>
      </c>
      <c r="E3" s="9" t="s">
        <v>219</v>
      </c>
      <c r="F3" s="9" t="s">
        <v>276</v>
      </c>
      <c r="G3" s="9" t="s">
        <v>277</v>
      </c>
      <c r="H3" s="9" t="s">
        <v>97</v>
      </c>
      <c r="I3" s="9">
        <v>2</v>
      </c>
      <c r="J3" s="9">
        <v>4</v>
      </c>
      <c r="K3" s="9" t="s">
        <v>310</v>
      </c>
      <c r="L3" s="9">
        <v>2</v>
      </c>
      <c r="M3" s="9">
        <v>3</v>
      </c>
      <c r="N3" s="9">
        <v>2</v>
      </c>
      <c r="O3" s="9">
        <v>1</v>
      </c>
      <c r="P3" s="9" t="s">
        <v>279</v>
      </c>
      <c r="Q3" s="9" t="s">
        <v>104</v>
      </c>
      <c r="R3" s="10">
        <v>2900</v>
      </c>
      <c r="S3" s="9" t="s">
        <v>313</v>
      </c>
      <c r="T3" s="38"/>
    </row>
    <row r="4" spans="1:20" x14ac:dyDescent="0.25">
      <c r="A4" s="9">
        <v>2</v>
      </c>
      <c r="B4" s="9" t="str">
        <f t="shared" si="0"/>
        <v>000010</v>
      </c>
      <c r="C4" s="9" t="s">
        <v>109</v>
      </c>
      <c r="D4" s="9" t="s">
        <v>314</v>
      </c>
      <c r="E4" s="9" t="s">
        <v>219</v>
      </c>
      <c r="F4" s="9" t="s">
        <v>276</v>
      </c>
      <c r="G4" s="9" t="s">
        <v>277</v>
      </c>
      <c r="H4" s="9" t="s">
        <v>97</v>
      </c>
      <c r="I4" s="9">
        <v>2</v>
      </c>
      <c r="J4" s="9">
        <v>4</v>
      </c>
      <c r="K4" s="9" t="s">
        <v>310</v>
      </c>
      <c r="L4" s="9">
        <v>3</v>
      </c>
      <c r="M4" s="9">
        <v>3</v>
      </c>
      <c r="N4" s="9">
        <v>3</v>
      </c>
      <c r="O4" s="9">
        <v>1</v>
      </c>
      <c r="P4" s="9" t="s">
        <v>278</v>
      </c>
      <c r="Q4" s="9" t="s">
        <v>104</v>
      </c>
      <c r="R4" s="10">
        <v>3100</v>
      </c>
      <c r="S4" s="9" t="s">
        <v>315</v>
      </c>
      <c r="T4" s="38"/>
    </row>
    <row r="5" spans="1:20" x14ac:dyDescent="0.25">
      <c r="A5" s="9">
        <v>3</v>
      </c>
      <c r="B5" s="9" t="str">
        <f t="shared" si="0"/>
        <v>000011</v>
      </c>
      <c r="C5" s="9" t="s">
        <v>109</v>
      </c>
      <c r="D5" s="9" t="s">
        <v>316</v>
      </c>
      <c r="E5" s="9" t="s">
        <v>219</v>
      </c>
      <c r="F5" s="9" t="s">
        <v>281</v>
      </c>
      <c r="G5" s="9" t="s">
        <v>277</v>
      </c>
      <c r="H5" s="9" t="s">
        <v>97</v>
      </c>
      <c r="I5" s="9">
        <v>1</v>
      </c>
      <c r="J5" s="9">
        <v>4</v>
      </c>
      <c r="K5" s="9" t="s">
        <v>317</v>
      </c>
      <c r="L5" s="9">
        <v>1</v>
      </c>
      <c r="M5" s="9">
        <v>1</v>
      </c>
      <c r="N5" s="9">
        <v>0</v>
      </c>
      <c r="O5" s="9">
        <v>0</v>
      </c>
      <c r="P5" s="9" t="s">
        <v>278</v>
      </c>
      <c r="Q5" s="9" t="s">
        <v>100</v>
      </c>
      <c r="R5" s="10">
        <v>1550</v>
      </c>
      <c r="S5" s="9" t="s">
        <v>571</v>
      </c>
      <c r="T5" s="38"/>
    </row>
    <row r="6" spans="1:20" x14ac:dyDescent="0.25">
      <c r="A6" s="9">
        <v>4</v>
      </c>
      <c r="B6" s="9" t="str">
        <f t="shared" si="0"/>
        <v>000100</v>
      </c>
      <c r="C6" s="9" t="s">
        <v>116</v>
      </c>
      <c r="D6" s="9" t="s">
        <v>318</v>
      </c>
      <c r="E6" s="9" t="s">
        <v>219</v>
      </c>
      <c r="F6" s="9" t="s">
        <v>276</v>
      </c>
      <c r="G6" s="9" t="s">
        <v>282</v>
      </c>
      <c r="H6" s="9" t="s">
        <v>97</v>
      </c>
      <c r="I6" s="9">
        <v>3</v>
      </c>
      <c r="J6" s="9">
        <v>4</v>
      </c>
      <c r="K6" s="9" t="s">
        <v>310</v>
      </c>
      <c r="L6" s="9">
        <v>2</v>
      </c>
      <c r="M6" s="9">
        <v>4</v>
      </c>
      <c r="N6" s="9">
        <v>3</v>
      </c>
      <c r="O6" s="9">
        <v>1</v>
      </c>
      <c r="P6" s="9" t="s">
        <v>278</v>
      </c>
      <c r="Q6" s="9" t="s">
        <v>104</v>
      </c>
      <c r="R6" s="10">
        <v>4200</v>
      </c>
      <c r="S6" s="9" t="s">
        <v>319</v>
      </c>
      <c r="T6" s="38"/>
    </row>
    <row r="7" spans="1:20" x14ac:dyDescent="0.25">
      <c r="A7" s="9">
        <v>5</v>
      </c>
      <c r="B7" s="9" t="str">
        <f t="shared" si="0"/>
        <v>000101</v>
      </c>
      <c r="C7" s="11" t="s">
        <v>109</v>
      </c>
      <c r="D7" s="11" t="s">
        <v>320</v>
      </c>
      <c r="E7" s="11" t="s">
        <v>219</v>
      </c>
      <c r="F7" s="11" t="s">
        <v>284</v>
      </c>
      <c r="G7" s="11" t="s">
        <v>282</v>
      </c>
      <c r="H7" s="11" t="s">
        <v>142</v>
      </c>
      <c r="I7" s="11">
        <v>4</v>
      </c>
      <c r="J7" s="11">
        <v>6</v>
      </c>
      <c r="K7" s="11" t="s">
        <v>321</v>
      </c>
      <c r="L7" s="11">
        <v>3</v>
      </c>
      <c r="M7" s="11">
        <v>6</v>
      </c>
      <c r="N7" s="11">
        <v>4</v>
      </c>
      <c r="O7" s="11">
        <v>2</v>
      </c>
      <c r="P7" s="11" t="s">
        <v>285</v>
      </c>
      <c r="Q7" s="11" t="s">
        <v>104</v>
      </c>
      <c r="R7" s="12">
        <v>5600</v>
      </c>
      <c r="S7" s="11" t="s">
        <v>322</v>
      </c>
      <c r="T7" s="37" t="s">
        <v>283</v>
      </c>
    </row>
    <row r="8" spans="1:20" x14ac:dyDescent="0.25">
      <c r="A8" s="9">
        <v>6</v>
      </c>
      <c r="B8" s="9" t="str">
        <f t="shared" si="0"/>
        <v>000110</v>
      </c>
      <c r="C8" s="11" t="s">
        <v>109</v>
      </c>
      <c r="D8" s="11" t="s">
        <v>323</v>
      </c>
      <c r="E8" s="11" t="s">
        <v>219</v>
      </c>
      <c r="F8" s="11" t="s">
        <v>284</v>
      </c>
      <c r="G8" s="11" t="s">
        <v>282</v>
      </c>
      <c r="H8" s="11" t="s">
        <v>142</v>
      </c>
      <c r="I8" s="11">
        <v>4</v>
      </c>
      <c r="J8" s="11">
        <v>6</v>
      </c>
      <c r="K8" s="11" t="s">
        <v>321</v>
      </c>
      <c r="L8" s="11">
        <v>2</v>
      </c>
      <c r="M8" s="11">
        <v>4</v>
      </c>
      <c r="N8" s="11">
        <v>2</v>
      </c>
      <c r="O8" s="11">
        <v>1</v>
      </c>
      <c r="P8" s="11" t="s">
        <v>285</v>
      </c>
      <c r="Q8" s="11" t="s">
        <v>100</v>
      </c>
      <c r="R8" s="12">
        <v>5100</v>
      </c>
      <c r="S8" s="11" t="s">
        <v>324</v>
      </c>
      <c r="T8" s="37"/>
    </row>
    <row r="9" spans="1:20" x14ac:dyDescent="0.25">
      <c r="A9" s="9">
        <v>7</v>
      </c>
      <c r="B9" s="9" t="str">
        <f t="shared" si="0"/>
        <v>000111</v>
      </c>
      <c r="C9" s="11" t="s">
        <v>109</v>
      </c>
      <c r="D9" s="11" t="s">
        <v>325</v>
      </c>
      <c r="E9" s="11" t="s">
        <v>219</v>
      </c>
      <c r="F9" s="11" t="s">
        <v>276</v>
      </c>
      <c r="G9" s="11" t="s">
        <v>277</v>
      </c>
      <c r="H9" s="11" t="s">
        <v>142</v>
      </c>
      <c r="I9" s="11">
        <v>2</v>
      </c>
      <c r="J9" s="11">
        <v>4</v>
      </c>
      <c r="K9" s="11" t="s">
        <v>310</v>
      </c>
      <c r="L9" s="11">
        <v>1</v>
      </c>
      <c r="M9" s="11">
        <v>2</v>
      </c>
      <c r="N9" s="11">
        <v>2</v>
      </c>
      <c r="O9" s="11">
        <v>1</v>
      </c>
      <c r="P9" s="11" t="s">
        <v>278</v>
      </c>
      <c r="Q9" s="11" t="s">
        <v>104</v>
      </c>
      <c r="R9" s="12">
        <v>2900</v>
      </c>
      <c r="S9" s="11" t="s">
        <v>326</v>
      </c>
      <c r="T9" s="37"/>
    </row>
    <row r="10" spans="1:20" x14ac:dyDescent="0.25">
      <c r="A10" s="9">
        <v>8</v>
      </c>
      <c r="B10" s="9" t="str">
        <f t="shared" si="0"/>
        <v>001000</v>
      </c>
      <c r="C10" s="11" t="s">
        <v>116</v>
      </c>
      <c r="D10" s="11" t="s">
        <v>327</v>
      </c>
      <c r="E10" s="11" t="s">
        <v>219</v>
      </c>
      <c r="F10" s="11" t="s">
        <v>276</v>
      </c>
      <c r="G10" s="11" t="s">
        <v>277</v>
      </c>
      <c r="H10" s="11" t="s">
        <v>142</v>
      </c>
      <c r="I10" s="11">
        <v>2</v>
      </c>
      <c r="J10" s="11">
        <v>4</v>
      </c>
      <c r="K10" s="11" t="s">
        <v>310</v>
      </c>
      <c r="L10" s="11">
        <v>2</v>
      </c>
      <c r="M10" s="11">
        <v>3</v>
      </c>
      <c r="N10" s="11">
        <v>3</v>
      </c>
      <c r="O10" s="11">
        <v>1</v>
      </c>
      <c r="P10" s="11" t="s">
        <v>279</v>
      </c>
      <c r="Q10" s="11" t="s">
        <v>104</v>
      </c>
      <c r="R10" s="12">
        <v>3800</v>
      </c>
      <c r="S10" s="11" t="s">
        <v>328</v>
      </c>
      <c r="T10" s="37"/>
    </row>
    <row r="11" spans="1:20" x14ac:dyDescent="0.25">
      <c r="A11" s="9">
        <v>9</v>
      </c>
      <c r="B11" s="9" t="str">
        <f t="shared" si="0"/>
        <v>001001</v>
      </c>
      <c r="C11" s="11" t="s">
        <v>116</v>
      </c>
      <c r="D11" s="11" t="s">
        <v>329</v>
      </c>
      <c r="E11" s="11" t="s">
        <v>219</v>
      </c>
      <c r="F11" s="11" t="s">
        <v>276</v>
      </c>
      <c r="G11" s="11" t="s">
        <v>282</v>
      </c>
      <c r="H11" s="11" t="s">
        <v>142</v>
      </c>
      <c r="I11" s="11">
        <v>3</v>
      </c>
      <c r="J11" s="11">
        <v>4</v>
      </c>
      <c r="K11" s="11" t="s">
        <v>310</v>
      </c>
      <c r="L11" s="11">
        <v>3</v>
      </c>
      <c r="M11" s="11">
        <v>4</v>
      </c>
      <c r="N11" s="11">
        <v>2</v>
      </c>
      <c r="O11" s="11">
        <v>1</v>
      </c>
      <c r="P11" s="11" t="s">
        <v>278</v>
      </c>
      <c r="Q11" s="11" t="s">
        <v>100</v>
      </c>
      <c r="R11" s="12">
        <v>3700</v>
      </c>
      <c r="S11" s="11" t="s">
        <v>330</v>
      </c>
      <c r="T11" s="37"/>
    </row>
    <row r="12" spans="1:20" x14ac:dyDescent="0.25">
      <c r="A12" s="9">
        <v>10</v>
      </c>
      <c r="B12" s="9" t="str">
        <f t="shared" si="0"/>
        <v>001010</v>
      </c>
      <c r="C12" s="11" t="s">
        <v>116</v>
      </c>
      <c r="D12" s="11" t="s">
        <v>331</v>
      </c>
      <c r="E12" s="11" t="s">
        <v>219</v>
      </c>
      <c r="F12" s="11" t="s">
        <v>276</v>
      </c>
      <c r="G12" s="11" t="s">
        <v>282</v>
      </c>
      <c r="H12" s="11" t="s">
        <v>142</v>
      </c>
      <c r="I12" s="11">
        <v>2</v>
      </c>
      <c r="J12" s="11">
        <v>4</v>
      </c>
      <c r="K12" s="11" t="s">
        <v>310</v>
      </c>
      <c r="L12" s="11">
        <v>2</v>
      </c>
      <c r="M12" s="11">
        <v>4</v>
      </c>
      <c r="N12" s="11">
        <v>2</v>
      </c>
      <c r="O12" s="11">
        <v>1</v>
      </c>
      <c r="P12" s="11" t="s">
        <v>279</v>
      </c>
      <c r="Q12" s="11" t="s">
        <v>104</v>
      </c>
      <c r="R12" s="12">
        <v>3900</v>
      </c>
      <c r="S12" s="11" t="s">
        <v>332</v>
      </c>
      <c r="T12" s="37"/>
    </row>
    <row r="13" spans="1:20" x14ac:dyDescent="0.25">
      <c r="A13" s="9">
        <v>11</v>
      </c>
      <c r="B13" s="9" t="str">
        <f t="shared" si="0"/>
        <v>001011</v>
      </c>
      <c r="C13" s="11" t="s">
        <v>116</v>
      </c>
      <c r="D13" s="11" t="s">
        <v>333</v>
      </c>
      <c r="E13" s="11" t="s">
        <v>219</v>
      </c>
      <c r="F13" s="11" t="s">
        <v>284</v>
      </c>
      <c r="G13" s="11" t="s">
        <v>282</v>
      </c>
      <c r="H13" s="11" t="s">
        <v>142</v>
      </c>
      <c r="I13" s="11">
        <v>3</v>
      </c>
      <c r="J13" s="11">
        <v>4</v>
      </c>
      <c r="K13" s="11" t="s">
        <v>321</v>
      </c>
      <c r="L13" s="11">
        <v>4</v>
      </c>
      <c r="M13" s="11">
        <v>4</v>
      </c>
      <c r="N13" s="11">
        <v>3</v>
      </c>
      <c r="O13" s="11">
        <v>1</v>
      </c>
      <c r="P13" s="11" t="s">
        <v>279</v>
      </c>
      <c r="Q13" s="11" t="s">
        <v>104</v>
      </c>
      <c r="R13" s="12">
        <v>5300</v>
      </c>
      <c r="S13" s="11" t="s">
        <v>334</v>
      </c>
      <c r="T13" s="37"/>
    </row>
    <row r="14" spans="1:20" x14ac:dyDescent="0.25">
      <c r="A14" s="9">
        <v>12</v>
      </c>
      <c r="B14" s="9" t="str">
        <f t="shared" si="0"/>
        <v>001100</v>
      </c>
      <c r="C14" s="11" t="s">
        <v>116</v>
      </c>
      <c r="D14" s="11" t="s">
        <v>335</v>
      </c>
      <c r="E14" s="11" t="s">
        <v>219</v>
      </c>
      <c r="F14" s="11" t="s">
        <v>276</v>
      </c>
      <c r="G14" s="11" t="s">
        <v>286</v>
      </c>
      <c r="H14" s="11" t="s">
        <v>142</v>
      </c>
      <c r="I14" s="11">
        <v>2</v>
      </c>
      <c r="J14" s="11">
        <v>4</v>
      </c>
      <c r="K14" s="11" t="s">
        <v>310</v>
      </c>
      <c r="L14" s="11">
        <v>1</v>
      </c>
      <c r="M14" s="11">
        <v>2</v>
      </c>
      <c r="N14" s="11">
        <v>2</v>
      </c>
      <c r="O14" s="11">
        <v>1</v>
      </c>
      <c r="P14" s="11" t="s">
        <v>278</v>
      </c>
      <c r="Q14" s="11" t="s">
        <v>104</v>
      </c>
      <c r="R14" s="12">
        <v>4800</v>
      </c>
      <c r="S14" s="11" t="s">
        <v>287</v>
      </c>
      <c r="T14" s="37"/>
    </row>
    <row r="15" spans="1:20" x14ac:dyDescent="0.25">
      <c r="A15" s="9">
        <v>13</v>
      </c>
      <c r="B15" s="9" t="str">
        <f t="shared" si="0"/>
        <v>001101</v>
      </c>
      <c r="C15" s="11" t="s">
        <v>109</v>
      </c>
      <c r="D15" s="11" t="s">
        <v>336</v>
      </c>
      <c r="E15" s="11" t="s">
        <v>219</v>
      </c>
      <c r="F15" s="11" t="s">
        <v>284</v>
      </c>
      <c r="G15" s="11" t="s">
        <v>282</v>
      </c>
      <c r="H15" s="11" t="s">
        <v>142</v>
      </c>
      <c r="I15" s="11">
        <v>5</v>
      </c>
      <c r="J15" s="11">
        <v>8</v>
      </c>
      <c r="K15" s="11" t="s">
        <v>321</v>
      </c>
      <c r="L15" s="11">
        <v>1</v>
      </c>
      <c r="M15" s="11">
        <v>6</v>
      </c>
      <c r="N15" s="11">
        <v>3</v>
      </c>
      <c r="O15" s="11">
        <v>1</v>
      </c>
      <c r="P15" s="11" t="s">
        <v>285</v>
      </c>
      <c r="Q15" s="11" t="s">
        <v>104</v>
      </c>
      <c r="R15" s="12">
        <v>7800</v>
      </c>
      <c r="S15" s="11" t="s">
        <v>337</v>
      </c>
      <c r="T15" s="37"/>
    </row>
    <row r="16" spans="1:20" x14ac:dyDescent="0.25">
      <c r="A16" s="9">
        <v>14</v>
      </c>
      <c r="B16" s="9" t="str">
        <f t="shared" si="0"/>
        <v>001110</v>
      </c>
      <c r="C16" s="11" t="s">
        <v>288</v>
      </c>
      <c r="D16" s="11" t="s">
        <v>338</v>
      </c>
      <c r="E16" s="11" t="s">
        <v>219</v>
      </c>
      <c r="F16" s="11" t="s">
        <v>284</v>
      </c>
      <c r="G16" s="11" t="s">
        <v>282</v>
      </c>
      <c r="H16" s="11" t="s">
        <v>142</v>
      </c>
      <c r="I16" s="11">
        <v>3</v>
      </c>
      <c r="J16" s="11">
        <v>6</v>
      </c>
      <c r="K16" s="11" t="s">
        <v>321</v>
      </c>
      <c r="L16" s="11">
        <v>3</v>
      </c>
      <c r="M16" s="11">
        <v>4</v>
      </c>
      <c r="N16" s="11">
        <v>2</v>
      </c>
      <c r="O16" s="11">
        <v>2</v>
      </c>
      <c r="P16" s="11" t="s">
        <v>279</v>
      </c>
      <c r="Q16" s="11" t="s">
        <v>100</v>
      </c>
      <c r="R16" s="12">
        <v>4500</v>
      </c>
      <c r="S16" s="11" t="s">
        <v>339</v>
      </c>
      <c r="T16" s="37"/>
    </row>
    <row r="17" spans="1:20" x14ac:dyDescent="0.25">
      <c r="A17" s="9">
        <v>15</v>
      </c>
      <c r="B17" s="9" t="str">
        <f t="shared" si="0"/>
        <v>001111</v>
      </c>
      <c r="C17" s="9" t="s">
        <v>94</v>
      </c>
      <c r="D17" s="9" t="s">
        <v>340</v>
      </c>
      <c r="E17" s="9" t="s">
        <v>218</v>
      </c>
      <c r="F17" s="9" t="s">
        <v>290</v>
      </c>
      <c r="G17" s="9" t="s">
        <v>277</v>
      </c>
      <c r="H17" s="9" t="s">
        <v>97</v>
      </c>
      <c r="I17" s="9">
        <v>2</v>
      </c>
      <c r="J17" s="9">
        <v>4</v>
      </c>
      <c r="K17" s="9" t="s">
        <v>310</v>
      </c>
      <c r="L17" s="9">
        <v>1</v>
      </c>
      <c r="M17" s="9">
        <v>3</v>
      </c>
      <c r="N17" s="9">
        <v>2</v>
      </c>
      <c r="O17" s="9">
        <v>2</v>
      </c>
      <c r="P17" s="9" t="s">
        <v>278</v>
      </c>
      <c r="Q17" s="9" t="s">
        <v>104</v>
      </c>
      <c r="R17" s="10">
        <v>2200</v>
      </c>
      <c r="S17" s="9" t="s">
        <v>341</v>
      </c>
      <c r="T17" s="38" t="s">
        <v>289</v>
      </c>
    </row>
    <row r="18" spans="1:20" x14ac:dyDescent="0.25">
      <c r="A18" s="9">
        <v>16</v>
      </c>
      <c r="B18" s="9" t="str">
        <f t="shared" si="0"/>
        <v>010000</v>
      </c>
      <c r="C18" s="9" t="s">
        <v>94</v>
      </c>
      <c r="D18" s="9" t="s">
        <v>342</v>
      </c>
      <c r="E18" s="9" t="s">
        <v>218</v>
      </c>
      <c r="F18" s="9" t="s">
        <v>290</v>
      </c>
      <c r="G18" s="9" t="s">
        <v>277</v>
      </c>
      <c r="H18" s="9" t="s">
        <v>97</v>
      </c>
      <c r="I18" s="9">
        <v>2</v>
      </c>
      <c r="J18" s="9">
        <v>4</v>
      </c>
      <c r="K18" s="9" t="s">
        <v>310</v>
      </c>
      <c r="L18" s="9">
        <v>1</v>
      </c>
      <c r="M18" s="9">
        <v>2</v>
      </c>
      <c r="N18" s="9">
        <v>2</v>
      </c>
      <c r="O18" s="9">
        <v>1</v>
      </c>
      <c r="P18" s="9" t="s">
        <v>278</v>
      </c>
      <c r="Q18" s="9" t="s">
        <v>100</v>
      </c>
      <c r="R18" s="10">
        <v>2000</v>
      </c>
      <c r="S18" s="9" t="s">
        <v>343</v>
      </c>
      <c r="T18" s="38"/>
    </row>
    <row r="19" spans="1:20" x14ac:dyDescent="0.25">
      <c r="A19" s="9">
        <v>17</v>
      </c>
      <c r="B19" s="9" t="str">
        <f t="shared" si="0"/>
        <v>010001</v>
      </c>
      <c r="C19" s="9" t="s">
        <v>109</v>
      </c>
      <c r="D19" s="9" t="s">
        <v>344</v>
      </c>
      <c r="E19" s="9" t="s">
        <v>218</v>
      </c>
      <c r="F19" s="9" t="s">
        <v>290</v>
      </c>
      <c r="G19" s="9" t="s">
        <v>277</v>
      </c>
      <c r="H19" s="9" t="s">
        <v>97</v>
      </c>
      <c r="I19" s="9">
        <v>2</v>
      </c>
      <c r="J19" s="9">
        <v>4</v>
      </c>
      <c r="K19" s="9" t="s">
        <v>310</v>
      </c>
      <c r="L19" s="9">
        <v>2</v>
      </c>
      <c r="M19" s="9">
        <v>3</v>
      </c>
      <c r="N19" s="9">
        <v>2</v>
      </c>
      <c r="O19" s="9">
        <v>1</v>
      </c>
      <c r="P19" s="9" t="s">
        <v>278</v>
      </c>
      <c r="Q19" s="9" t="s">
        <v>104</v>
      </c>
      <c r="R19" s="10">
        <v>3000</v>
      </c>
      <c r="S19" s="9" t="s">
        <v>345</v>
      </c>
      <c r="T19" s="38"/>
    </row>
    <row r="20" spans="1:20" x14ac:dyDescent="0.25">
      <c r="A20" s="9">
        <v>18</v>
      </c>
      <c r="B20" s="9" t="str">
        <f t="shared" si="0"/>
        <v>010010</v>
      </c>
      <c r="C20" s="9" t="s">
        <v>109</v>
      </c>
      <c r="D20" s="9" t="s">
        <v>346</v>
      </c>
      <c r="E20" s="9" t="s">
        <v>218</v>
      </c>
      <c r="F20" s="9" t="s">
        <v>291</v>
      </c>
      <c r="G20" s="9" t="s">
        <v>277</v>
      </c>
      <c r="H20" s="9" t="s">
        <v>97</v>
      </c>
      <c r="I20" s="9">
        <v>1</v>
      </c>
      <c r="J20" s="9">
        <v>4</v>
      </c>
      <c r="K20" s="9" t="s">
        <v>317</v>
      </c>
      <c r="L20" s="9">
        <v>1</v>
      </c>
      <c r="M20" s="9">
        <v>1</v>
      </c>
      <c r="N20" s="9">
        <v>0</v>
      </c>
      <c r="O20" s="9">
        <v>0</v>
      </c>
      <c r="P20" s="9" t="s">
        <v>278</v>
      </c>
      <c r="Q20" s="9" t="s">
        <v>100</v>
      </c>
      <c r="R20" s="10">
        <v>1250</v>
      </c>
      <c r="S20" s="9" t="s">
        <v>572</v>
      </c>
      <c r="T20" s="38"/>
    </row>
    <row r="21" spans="1:20" x14ac:dyDescent="0.25">
      <c r="A21" s="9">
        <v>19</v>
      </c>
      <c r="B21" s="9" t="str">
        <f t="shared" si="0"/>
        <v>010011</v>
      </c>
      <c r="C21" s="9" t="s">
        <v>109</v>
      </c>
      <c r="D21" s="9" t="s">
        <v>347</v>
      </c>
      <c r="E21" s="9" t="s">
        <v>218</v>
      </c>
      <c r="F21" s="9" t="s">
        <v>291</v>
      </c>
      <c r="G21" s="9" t="s">
        <v>277</v>
      </c>
      <c r="H21" s="9" t="s">
        <v>97</v>
      </c>
      <c r="I21" s="9">
        <v>1</v>
      </c>
      <c r="J21" s="9">
        <v>4</v>
      </c>
      <c r="K21" s="9" t="s">
        <v>317</v>
      </c>
      <c r="L21" s="9">
        <v>1</v>
      </c>
      <c r="M21" s="9">
        <v>1</v>
      </c>
      <c r="N21" s="9">
        <v>0</v>
      </c>
      <c r="O21" s="9">
        <v>0</v>
      </c>
      <c r="P21" s="9" t="s">
        <v>278</v>
      </c>
      <c r="Q21" s="9" t="s">
        <v>104</v>
      </c>
      <c r="R21" s="10">
        <v>1300</v>
      </c>
      <c r="S21" s="9" t="s">
        <v>573</v>
      </c>
      <c r="T21" s="38"/>
    </row>
    <row r="22" spans="1:20" x14ac:dyDescent="0.25">
      <c r="A22" s="9">
        <v>20</v>
      </c>
      <c r="B22" s="9" t="str">
        <f t="shared" si="0"/>
        <v>010100</v>
      </c>
      <c r="C22" s="9" t="s">
        <v>116</v>
      </c>
      <c r="D22" s="9" t="s">
        <v>348</v>
      </c>
      <c r="E22" s="9" t="s">
        <v>218</v>
      </c>
      <c r="F22" s="9" t="s">
        <v>290</v>
      </c>
      <c r="G22" s="9" t="s">
        <v>282</v>
      </c>
      <c r="H22" s="9" t="s">
        <v>97</v>
      </c>
      <c r="I22" s="9">
        <v>2</v>
      </c>
      <c r="J22" s="9">
        <v>4</v>
      </c>
      <c r="K22" s="9" t="s">
        <v>310</v>
      </c>
      <c r="L22" s="9">
        <v>2</v>
      </c>
      <c r="M22" s="9">
        <v>4</v>
      </c>
      <c r="N22" s="9">
        <v>2</v>
      </c>
      <c r="O22" s="9">
        <v>1</v>
      </c>
      <c r="P22" s="9" t="s">
        <v>278</v>
      </c>
      <c r="Q22" s="9" t="s">
        <v>104</v>
      </c>
      <c r="R22" s="10">
        <v>3500</v>
      </c>
      <c r="S22" s="9" t="s">
        <v>292</v>
      </c>
      <c r="T22" s="38"/>
    </row>
    <row r="23" spans="1:20" ht="18" customHeight="1" x14ac:dyDescent="0.25">
      <c r="A23" s="9">
        <v>21</v>
      </c>
      <c r="B23" s="9" t="str">
        <f t="shared" si="0"/>
        <v>010101</v>
      </c>
      <c r="C23" s="9" t="s">
        <v>116</v>
      </c>
      <c r="D23" s="9" t="s">
        <v>349</v>
      </c>
      <c r="E23" s="9" t="s">
        <v>218</v>
      </c>
      <c r="F23" s="9" t="s">
        <v>290</v>
      </c>
      <c r="G23" s="9" t="s">
        <v>282</v>
      </c>
      <c r="H23" s="9" t="s">
        <v>97</v>
      </c>
      <c r="I23" s="9">
        <v>2</v>
      </c>
      <c r="J23" s="9">
        <v>4</v>
      </c>
      <c r="K23" s="9" t="s">
        <v>310</v>
      </c>
      <c r="L23" s="9">
        <v>2</v>
      </c>
      <c r="M23" s="9">
        <v>3</v>
      </c>
      <c r="N23" s="9">
        <v>2</v>
      </c>
      <c r="O23" s="9">
        <v>2</v>
      </c>
      <c r="P23" s="9" t="s">
        <v>278</v>
      </c>
      <c r="Q23" s="9" t="s">
        <v>100</v>
      </c>
      <c r="R23" s="10">
        <v>3300</v>
      </c>
      <c r="S23" s="9" t="s">
        <v>350</v>
      </c>
      <c r="T23" s="38"/>
    </row>
    <row r="24" spans="1:20" x14ac:dyDescent="0.25">
      <c r="A24" s="9">
        <v>22</v>
      </c>
      <c r="B24" s="9" t="str">
        <f t="shared" si="0"/>
        <v>010110</v>
      </c>
      <c r="C24" s="9" t="s">
        <v>288</v>
      </c>
      <c r="D24" s="9" t="s">
        <v>351</v>
      </c>
      <c r="E24" s="9" t="s">
        <v>218</v>
      </c>
      <c r="F24" s="9" t="s">
        <v>290</v>
      </c>
      <c r="G24" s="9" t="s">
        <v>277</v>
      </c>
      <c r="H24" s="9" t="s">
        <v>97</v>
      </c>
      <c r="I24" s="9">
        <v>2</v>
      </c>
      <c r="J24" s="9">
        <v>4</v>
      </c>
      <c r="K24" s="9" t="s">
        <v>310</v>
      </c>
      <c r="L24" s="9">
        <v>1</v>
      </c>
      <c r="M24" s="9">
        <v>3</v>
      </c>
      <c r="N24" s="9">
        <v>2</v>
      </c>
      <c r="O24" s="9">
        <v>1</v>
      </c>
      <c r="P24" s="9" t="s">
        <v>278</v>
      </c>
      <c r="Q24" s="9" t="s">
        <v>104</v>
      </c>
      <c r="R24" s="10">
        <v>2300</v>
      </c>
      <c r="S24" s="9" t="s">
        <v>352</v>
      </c>
      <c r="T24" s="38"/>
    </row>
    <row r="25" spans="1:20" x14ac:dyDescent="0.25">
      <c r="A25" s="9">
        <v>23</v>
      </c>
      <c r="B25" s="9" t="str">
        <f t="shared" si="0"/>
        <v>010111</v>
      </c>
      <c r="C25" s="9" t="s">
        <v>288</v>
      </c>
      <c r="D25" s="9" t="s">
        <v>353</v>
      </c>
      <c r="E25" s="9" t="s">
        <v>218</v>
      </c>
      <c r="F25" s="9" t="s">
        <v>290</v>
      </c>
      <c r="G25" s="9" t="s">
        <v>286</v>
      </c>
      <c r="H25" s="9" t="s">
        <v>97</v>
      </c>
      <c r="I25" s="9">
        <v>2</v>
      </c>
      <c r="J25" s="9">
        <v>4</v>
      </c>
      <c r="K25" s="9" t="s">
        <v>310</v>
      </c>
      <c r="L25" s="9">
        <v>1</v>
      </c>
      <c r="M25" s="9">
        <v>2</v>
      </c>
      <c r="N25" s="9">
        <v>2</v>
      </c>
      <c r="O25" s="9">
        <v>1</v>
      </c>
      <c r="P25" s="9" t="s">
        <v>278</v>
      </c>
      <c r="Q25" s="9" t="s">
        <v>104</v>
      </c>
      <c r="R25" s="10">
        <v>3900</v>
      </c>
      <c r="S25" s="9" t="s">
        <v>293</v>
      </c>
      <c r="T25" s="38"/>
    </row>
    <row r="26" spans="1:20" x14ac:dyDescent="0.25">
      <c r="A26" s="9">
        <v>24</v>
      </c>
      <c r="B26" s="9" t="str">
        <f t="shared" si="0"/>
        <v>011000</v>
      </c>
      <c r="C26" s="11" t="s">
        <v>94</v>
      </c>
      <c r="D26" s="11" t="s">
        <v>354</v>
      </c>
      <c r="E26" s="11" t="s">
        <v>220</v>
      </c>
      <c r="F26" s="11" t="s">
        <v>295</v>
      </c>
      <c r="G26" s="11" t="s">
        <v>277</v>
      </c>
      <c r="H26" s="11" t="s">
        <v>142</v>
      </c>
      <c r="I26" s="11">
        <v>2</v>
      </c>
      <c r="J26" s="11">
        <v>4</v>
      </c>
      <c r="K26" s="11" t="s">
        <v>310</v>
      </c>
      <c r="L26" s="11">
        <v>2</v>
      </c>
      <c r="M26" s="11">
        <v>3</v>
      </c>
      <c r="N26" s="11">
        <v>3</v>
      </c>
      <c r="O26" s="11">
        <v>1</v>
      </c>
      <c r="P26" s="11" t="s">
        <v>279</v>
      </c>
      <c r="Q26" s="11" t="s">
        <v>104</v>
      </c>
      <c r="R26" s="12">
        <v>4100</v>
      </c>
      <c r="S26" s="11" t="s">
        <v>296</v>
      </c>
      <c r="T26" s="37" t="s">
        <v>294</v>
      </c>
    </row>
    <row r="27" spans="1:20" x14ac:dyDescent="0.25">
      <c r="A27" s="9">
        <v>25</v>
      </c>
      <c r="B27" s="9" t="str">
        <f t="shared" si="0"/>
        <v>011001</v>
      </c>
      <c r="C27" s="11" t="s">
        <v>109</v>
      </c>
      <c r="D27" s="11" t="s">
        <v>355</v>
      </c>
      <c r="E27" s="11" t="s">
        <v>220</v>
      </c>
      <c r="F27" s="11" t="s">
        <v>295</v>
      </c>
      <c r="G27" s="11" t="s">
        <v>277</v>
      </c>
      <c r="H27" s="11" t="s">
        <v>142</v>
      </c>
      <c r="I27" s="11">
        <v>2</v>
      </c>
      <c r="J27" s="11">
        <v>4</v>
      </c>
      <c r="K27" s="11" t="s">
        <v>310</v>
      </c>
      <c r="L27" s="11">
        <v>1</v>
      </c>
      <c r="M27" s="11">
        <v>3</v>
      </c>
      <c r="N27" s="11">
        <v>2</v>
      </c>
      <c r="O27" s="11">
        <v>1</v>
      </c>
      <c r="P27" s="11" t="s">
        <v>278</v>
      </c>
      <c r="Q27" s="11" t="s">
        <v>100</v>
      </c>
      <c r="R27" s="12">
        <v>3200</v>
      </c>
      <c r="S27" s="11" t="s">
        <v>356</v>
      </c>
      <c r="T27" s="37"/>
    </row>
    <row r="28" spans="1:20" x14ac:dyDescent="0.25">
      <c r="A28" s="9">
        <v>26</v>
      </c>
      <c r="B28" s="9" t="str">
        <f t="shared" si="0"/>
        <v>011010</v>
      </c>
      <c r="C28" s="11" t="s">
        <v>109</v>
      </c>
      <c r="D28" s="11" t="s">
        <v>357</v>
      </c>
      <c r="E28" s="11" t="s">
        <v>220</v>
      </c>
      <c r="F28" s="11" t="s">
        <v>297</v>
      </c>
      <c r="G28" s="11" t="s">
        <v>277</v>
      </c>
      <c r="H28" s="11" t="s">
        <v>142</v>
      </c>
      <c r="I28" s="11">
        <v>1</v>
      </c>
      <c r="J28" s="11">
        <v>4</v>
      </c>
      <c r="K28" s="11" t="s">
        <v>310</v>
      </c>
      <c r="L28" s="11">
        <v>1</v>
      </c>
      <c r="M28" s="11">
        <v>2</v>
      </c>
      <c r="N28" s="11">
        <v>2</v>
      </c>
      <c r="O28" s="11">
        <v>1</v>
      </c>
      <c r="P28" s="11" t="s">
        <v>278</v>
      </c>
      <c r="Q28" s="11" t="s">
        <v>100</v>
      </c>
      <c r="R28" s="12">
        <v>2600</v>
      </c>
      <c r="S28" s="11" t="s">
        <v>358</v>
      </c>
      <c r="T28" s="37"/>
    </row>
    <row r="29" spans="1:20" x14ac:dyDescent="0.25">
      <c r="A29" s="9">
        <v>27</v>
      </c>
      <c r="B29" s="9" t="str">
        <f t="shared" si="0"/>
        <v>011011</v>
      </c>
      <c r="C29" s="11" t="s">
        <v>109</v>
      </c>
      <c r="D29" s="11" t="s">
        <v>359</v>
      </c>
      <c r="E29" s="11" t="s">
        <v>220</v>
      </c>
      <c r="F29" s="11" t="s">
        <v>295</v>
      </c>
      <c r="G29" s="11" t="s">
        <v>282</v>
      </c>
      <c r="H29" s="11" t="s">
        <v>142</v>
      </c>
      <c r="I29" s="11">
        <v>3</v>
      </c>
      <c r="J29" s="11">
        <v>4</v>
      </c>
      <c r="K29" s="11" t="s">
        <v>310</v>
      </c>
      <c r="L29" s="11">
        <v>1</v>
      </c>
      <c r="M29" s="11">
        <v>4</v>
      </c>
      <c r="N29" s="11">
        <v>2</v>
      </c>
      <c r="O29" s="11">
        <v>2</v>
      </c>
      <c r="P29" s="11" t="s">
        <v>278</v>
      </c>
      <c r="Q29" s="11" t="s">
        <v>100</v>
      </c>
      <c r="R29" s="12">
        <v>3800</v>
      </c>
      <c r="S29" s="11" t="s">
        <v>360</v>
      </c>
      <c r="T29" s="37"/>
    </row>
    <row r="30" spans="1:20" x14ac:dyDescent="0.25">
      <c r="A30" s="9">
        <v>28</v>
      </c>
      <c r="B30" s="9" t="str">
        <f t="shared" si="0"/>
        <v>011100</v>
      </c>
      <c r="C30" s="11" t="s">
        <v>109</v>
      </c>
      <c r="D30" s="11" t="s">
        <v>361</v>
      </c>
      <c r="E30" s="11" t="s">
        <v>220</v>
      </c>
      <c r="F30" s="11" t="s">
        <v>295</v>
      </c>
      <c r="G30" s="11" t="s">
        <v>282</v>
      </c>
      <c r="H30" s="11" t="s">
        <v>142</v>
      </c>
      <c r="I30" s="11">
        <v>2</v>
      </c>
      <c r="J30" s="11">
        <v>4</v>
      </c>
      <c r="K30" s="11" t="s">
        <v>310</v>
      </c>
      <c r="L30" s="11">
        <v>2</v>
      </c>
      <c r="M30" s="11">
        <v>4</v>
      </c>
      <c r="N30" s="11">
        <v>2</v>
      </c>
      <c r="O30" s="11">
        <v>1</v>
      </c>
      <c r="P30" s="11" t="s">
        <v>279</v>
      </c>
      <c r="Q30" s="11" t="s">
        <v>104</v>
      </c>
      <c r="R30" s="12">
        <v>4000</v>
      </c>
      <c r="S30" s="11" t="s">
        <v>362</v>
      </c>
      <c r="T30" s="37"/>
    </row>
    <row r="31" spans="1:20" x14ac:dyDescent="0.25">
      <c r="A31" s="9">
        <v>29</v>
      </c>
      <c r="B31" s="9" t="str">
        <f t="shared" si="0"/>
        <v>011101</v>
      </c>
      <c r="C31" s="11" t="s">
        <v>116</v>
      </c>
      <c r="D31" s="11" t="s">
        <v>363</v>
      </c>
      <c r="E31" s="11" t="s">
        <v>220</v>
      </c>
      <c r="F31" s="11" t="s">
        <v>295</v>
      </c>
      <c r="G31" s="11" t="s">
        <v>282</v>
      </c>
      <c r="H31" s="11" t="s">
        <v>142</v>
      </c>
      <c r="I31" s="11">
        <v>3</v>
      </c>
      <c r="J31" s="11">
        <v>4</v>
      </c>
      <c r="K31" s="11" t="s">
        <v>310</v>
      </c>
      <c r="L31" s="11">
        <v>2</v>
      </c>
      <c r="M31" s="11">
        <v>4</v>
      </c>
      <c r="N31" s="11">
        <v>3</v>
      </c>
      <c r="O31" s="11">
        <v>1</v>
      </c>
      <c r="P31" s="11" t="s">
        <v>279</v>
      </c>
      <c r="Q31" s="11" t="s">
        <v>104</v>
      </c>
      <c r="R31" s="12">
        <v>4400</v>
      </c>
      <c r="S31" s="11" t="s">
        <v>364</v>
      </c>
      <c r="T31" s="37"/>
    </row>
    <row r="32" spans="1:20" x14ac:dyDescent="0.25">
      <c r="A32" s="9">
        <v>30</v>
      </c>
      <c r="B32" s="9" t="str">
        <f t="shared" si="0"/>
        <v>011110</v>
      </c>
      <c r="C32" s="11" t="s">
        <v>116</v>
      </c>
      <c r="D32" s="11" t="s">
        <v>365</v>
      </c>
      <c r="E32" s="11" t="s">
        <v>220</v>
      </c>
      <c r="F32" s="11" t="s">
        <v>295</v>
      </c>
      <c r="G32" s="11" t="s">
        <v>277</v>
      </c>
      <c r="H32" s="11" t="s">
        <v>142</v>
      </c>
      <c r="I32" s="11">
        <v>2</v>
      </c>
      <c r="J32" s="11">
        <v>4</v>
      </c>
      <c r="K32" s="11" t="s">
        <v>310</v>
      </c>
      <c r="L32" s="11">
        <v>2</v>
      </c>
      <c r="M32" s="11">
        <v>3</v>
      </c>
      <c r="N32" s="11">
        <v>2</v>
      </c>
      <c r="O32" s="11">
        <v>1</v>
      </c>
      <c r="P32" s="11" t="s">
        <v>278</v>
      </c>
      <c r="Q32" s="11" t="s">
        <v>104</v>
      </c>
      <c r="R32" s="12">
        <v>3600</v>
      </c>
      <c r="S32" s="11" t="s">
        <v>366</v>
      </c>
      <c r="T32" s="37"/>
    </row>
    <row r="33" spans="1:20" x14ac:dyDescent="0.25">
      <c r="A33" s="9">
        <v>31</v>
      </c>
      <c r="B33" s="9" t="str">
        <f t="shared" si="0"/>
        <v>011111</v>
      </c>
      <c r="C33" s="11" t="s">
        <v>116</v>
      </c>
      <c r="D33" s="11" t="s">
        <v>367</v>
      </c>
      <c r="E33" s="11" t="s">
        <v>220</v>
      </c>
      <c r="F33" s="11" t="s">
        <v>297</v>
      </c>
      <c r="G33" s="11" t="s">
        <v>277</v>
      </c>
      <c r="H33" s="11" t="s">
        <v>142</v>
      </c>
      <c r="I33" s="11">
        <v>1</v>
      </c>
      <c r="J33" s="11">
        <v>4</v>
      </c>
      <c r="K33" s="11" t="s">
        <v>310</v>
      </c>
      <c r="L33" s="11">
        <v>1</v>
      </c>
      <c r="M33" s="11">
        <v>2</v>
      </c>
      <c r="N33" s="11">
        <v>1</v>
      </c>
      <c r="O33" s="11">
        <v>0</v>
      </c>
      <c r="P33" s="11" t="s">
        <v>278</v>
      </c>
      <c r="Q33" s="11" t="s">
        <v>104</v>
      </c>
      <c r="R33" s="12">
        <v>2700</v>
      </c>
      <c r="S33" s="11" t="s">
        <v>368</v>
      </c>
      <c r="T33" s="37"/>
    </row>
    <row r="34" spans="1:20" x14ac:dyDescent="0.25">
      <c r="A34" s="9">
        <v>32</v>
      </c>
      <c r="B34" s="9" t="str">
        <f t="shared" si="0"/>
        <v>100000</v>
      </c>
      <c r="C34" s="11" t="s">
        <v>116</v>
      </c>
      <c r="D34" s="11" t="s">
        <v>369</v>
      </c>
      <c r="E34" s="11" t="s">
        <v>220</v>
      </c>
      <c r="F34" s="11" t="s">
        <v>298</v>
      </c>
      <c r="G34" s="11" t="s">
        <v>282</v>
      </c>
      <c r="H34" s="11" t="s">
        <v>142</v>
      </c>
      <c r="I34" s="11">
        <v>3</v>
      </c>
      <c r="J34" s="11">
        <v>4</v>
      </c>
      <c r="K34" s="11" t="s">
        <v>321</v>
      </c>
      <c r="L34" s="11">
        <v>2</v>
      </c>
      <c r="M34" s="11">
        <v>4</v>
      </c>
      <c r="N34" s="11">
        <v>3</v>
      </c>
      <c r="O34" s="11">
        <v>1</v>
      </c>
      <c r="P34" s="11" t="s">
        <v>279</v>
      </c>
      <c r="Q34" s="11" t="s">
        <v>104</v>
      </c>
      <c r="R34" s="12">
        <v>6200</v>
      </c>
      <c r="S34" s="11" t="s">
        <v>370</v>
      </c>
      <c r="T34" s="37"/>
    </row>
    <row r="35" spans="1:20" x14ac:dyDescent="0.25">
      <c r="A35" s="9">
        <v>33</v>
      </c>
      <c r="B35" s="9" t="str">
        <f t="shared" si="0"/>
        <v>100001</v>
      </c>
      <c r="C35" s="11" t="s">
        <v>116</v>
      </c>
      <c r="D35" s="11" t="s">
        <v>371</v>
      </c>
      <c r="E35" s="11" t="s">
        <v>220</v>
      </c>
      <c r="F35" s="11" t="s">
        <v>295</v>
      </c>
      <c r="G35" s="11" t="s">
        <v>282</v>
      </c>
      <c r="H35" s="11" t="s">
        <v>142</v>
      </c>
      <c r="I35" s="11">
        <v>2</v>
      </c>
      <c r="J35" s="11">
        <v>4</v>
      </c>
      <c r="K35" s="11" t="s">
        <v>310</v>
      </c>
      <c r="L35" s="11">
        <v>2</v>
      </c>
      <c r="M35" s="11">
        <v>3</v>
      </c>
      <c r="N35" s="11">
        <v>3</v>
      </c>
      <c r="O35" s="11">
        <v>1</v>
      </c>
      <c r="P35" s="11" t="s">
        <v>278</v>
      </c>
      <c r="Q35" s="11" t="s">
        <v>100</v>
      </c>
      <c r="R35" s="12">
        <v>3600</v>
      </c>
      <c r="S35" s="11" t="s">
        <v>372</v>
      </c>
      <c r="T35" s="37"/>
    </row>
    <row r="36" spans="1:20" x14ac:dyDescent="0.25">
      <c r="A36" s="9">
        <v>34</v>
      </c>
      <c r="B36" s="9" t="str">
        <f t="shared" si="0"/>
        <v>100010</v>
      </c>
      <c r="C36" s="11" t="s">
        <v>288</v>
      </c>
      <c r="D36" s="11" t="s">
        <v>373</v>
      </c>
      <c r="E36" s="11" t="s">
        <v>220</v>
      </c>
      <c r="F36" s="11" t="s">
        <v>295</v>
      </c>
      <c r="G36" s="11" t="s">
        <v>282</v>
      </c>
      <c r="H36" s="11" t="s">
        <v>142</v>
      </c>
      <c r="I36" s="11">
        <v>3</v>
      </c>
      <c r="J36" s="11">
        <v>4</v>
      </c>
      <c r="K36" s="11" t="s">
        <v>310</v>
      </c>
      <c r="L36" s="11">
        <v>1</v>
      </c>
      <c r="M36" s="11">
        <v>4</v>
      </c>
      <c r="N36" s="11">
        <v>3</v>
      </c>
      <c r="O36" s="11">
        <v>1</v>
      </c>
      <c r="P36" s="11" t="s">
        <v>278</v>
      </c>
      <c r="Q36" s="11" t="s">
        <v>100</v>
      </c>
      <c r="R36" s="12">
        <v>3500</v>
      </c>
      <c r="S36" s="11" t="s">
        <v>374</v>
      </c>
      <c r="T36" s="37"/>
    </row>
    <row r="37" spans="1:20" x14ac:dyDescent="0.25">
      <c r="A37" s="9">
        <v>35</v>
      </c>
      <c r="B37" s="9" t="str">
        <f t="shared" si="0"/>
        <v>100011</v>
      </c>
      <c r="C37" s="11" t="s">
        <v>288</v>
      </c>
      <c r="D37" s="11" t="s">
        <v>375</v>
      </c>
      <c r="E37" s="11" t="s">
        <v>220</v>
      </c>
      <c r="F37" s="11" t="s">
        <v>298</v>
      </c>
      <c r="G37" s="11" t="s">
        <v>286</v>
      </c>
      <c r="H37" s="11" t="s">
        <v>142</v>
      </c>
      <c r="I37" s="11">
        <v>2</v>
      </c>
      <c r="J37" s="11">
        <v>2</v>
      </c>
      <c r="K37" s="11" t="s">
        <v>321</v>
      </c>
      <c r="L37" s="11">
        <v>1</v>
      </c>
      <c r="M37" s="11">
        <v>2</v>
      </c>
      <c r="N37" s="11">
        <v>2</v>
      </c>
      <c r="O37" s="11">
        <v>0</v>
      </c>
      <c r="P37" s="11" t="s">
        <v>278</v>
      </c>
      <c r="Q37" s="11" t="s">
        <v>104</v>
      </c>
      <c r="R37" s="12">
        <v>7000</v>
      </c>
      <c r="S37" s="11" t="s">
        <v>299</v>
      </c>
      <c r="T37" s="37"/>
    </row>
    <row r="38" spans="1:20" x14ac:dyDescent="0.25">
      <c r="A38" s="9">
        <v>36</v>
      </c>
      <c r="B38" s="9" t="str">
        <f t="shared" si="0"/>
        <v>100100</v>
      </c>
      <c r="C38" s="11" t="s">
        <v>288</v>
      </c>
      <c r="D38" s="11" t="s">
        <v>376</v>
      </c>
      <c r="E38" s="11" t="s">
        <v>220</v>
      </c>
      <c r="F38" s="11" t="s">
        <v>300</v>
      </c>
      <c r="G38" s="11" t="s">
        <v>282</v>
      </c>
      <c r="H38" s="11" t="s">
        <v>142</v>
      </c>
      <c r="I38" s="11">
        <v>4</v>
      </c>
      <c r="J38" s="11">
        <v>4</v>
      </c>
      <c r="K38" s="11" t="s">
        <v>321</v>
      </c>
      <c r="L38" s="11">
        <v>2</v>
      </c>
      <c r="M38" s="11">
        <v>5</v>
      </c>
      <c r="N38" s="11">
        <v>3</v>
      </c>
      <c r="O38" s="11">
        <v>1</v>
      </c>
      <c r="P38" s="11" t="s">
        <v>285</v>
      </c>
      <c r="Q38" s="11" t="s">
        <v>104</v>
      </c>
      <c r="R38" s="12">
        <v>7500</v>
      </c>
      <c r="S38" s="11" t="s">
        <v>301</v>
      </c>
      <c r="T38" s="37"/>
    </row>
  </sheetData>
  <mergeCells count="4">
    <mergeCell ref="T26:T38"/>
    <mergeCell ref="T17:T25"/>
    <mergeCell ref="T7:T16"/>
    <mergeCell ref="T2:T6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ED73C-386A-421E-A0A1-E76A0FFE34FC}">
  <dimension ref="A1:O55"/>
  <sheetViews>
    <sheetView zoomScale="70" zoomScaleNormal="70" workbookViewId="0">
      <selection activeCell="C17" sqref="C17"/>
    </sheetView>
  </sheetViews>
  <sheetFormatPr baseColWidth="10" defaultRowHeight="15" x14ac:dyDescent="0.25"/>
  <cols>
    <col min="1" max="1" width="8.42578125" bestFit="1" customWidth="1"/>
    <col min="2" max="2" width="14.7109375" bestFit="1" customWidth="1"/>
    <col min="3" max="3" width="25.85546875" bestFit="1" customWidth="1"/>
    <col min="4" max="4" width="15.28515625" bestFit="1" customWidth="1"/>
    <col min="5" max="5" width="23.140625" bestFit="1" customWidth="1"/>
    <col min="6" max="6" width="16.28515625" bestFit="1" customWidth="1"/>
    <col min="7" max="7" width="24.85546875" bestFit="1" customWidth="1"/>
    <col min="8" max="8" width="36.85546875" bestFit="1" customWidth="1"/>
    <col min="9" max="9" width="23.140625" bestFit="1" customWidth="1"/>
    <col min="10" max="10" width="29.7109375" bestFit="1" customWidth="1"/>
    <col min="11" max="11" width="30.5703125" bestFit="1" customWidth="1"/>
    <col min="12" max="12" width="30" bestFit="1" customWidth="1"/>
    <col min="13" max="13" width="32.5703125" bestFit="1" customWidth="1"/>
    <col min="14" max="14" width="109.5703125" bestFit="1" customWidth="1"/>
    <col min="15" max="15" width="110.7109375" bestFit="1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4" t="s">
        <v>83</v>
      </c>
      <c r="E1" s="4" t="s">
        <v>221</v>
      </c>
      <c r="F1" s="4" t="s">
        <v>217</v>
      </c>
      <c r="G1" s="4" t="s">
        <v>3</v>
      </c>
      <c r="H1" s="4" t="s">
        <v>4</v>
      </c>
      <c r="I1" s="4" t="s">
        <v>5</v>
      </c>
      <c r="J1" s="4" t="s">
        <v>705</v>
      </c>
      <c r="K1" s="4" t="s">
        <v>6</v>
      </c>
      <c r="L1" s="4" t="s">
        <v>7</v>
      </c>
      <c r="M1" s="4" t="s">
        <v>90</v>
      </c>
      <c r="N1" s="4" t="s">
        <v>91</v>
      </c>
      <c r="O1" s="4" t="s">
        <v>92</v>
      </c>
    </row>
    <row r="2" spans="1:15" x14ac:dyDescent="0.25">
      <c r="A2" s="5">
        <v>0</v>
      </c>
      <c r="B2" s="5" t="str">
        <f>TEXT(DEC2BIN(A2,6),"000000")</f>
        <v>000000</v>
      </c>
      <c r="C2" s="5" t="s">
        <v>8</v>
      </c>
      <c r="D2" s="5" t="s">
        <v>222</v>
      </c>
      <c r="E2" s="5" t="s">
        <v>223</v>
      </c>
      <c r="F2" s="5" t="s">
        <v>218</v>
      </c>
      <c r="G2" s="5">
        <v>45997</v>
      </c>
      <c r="H2" s="5" t="s">
        <v>10</v>
      </c>
      <c r="I2" s="5" t="s">
        <v>9</v>
      </c>
      <c r="J2" s="5" t="s">
        <v>706</v>
      </c>
      <c r="K2" s="5" t="s">
        <v>11</v>
      </c>
      <c r="L2" s="5" t="s">
        <v>12</v>
      </c>
      <c r="M2" s="5">
        <v>2200</v>
      </c>
      <c r="N2" s="5" t="s">
        <v>100</v>
      </c>
      <c r="O2" s="5" t="s">
        <v>171</v>
      </c>
    </row>
    <row r="3" spans="1:15" x14ac:dyDescent="0.25">
      <c r="A3" s="5">
        <v>1</v>
      </c>
      <c r="B3" s="5" t="str">
        <f t="shared" ref="B3:B48" si="0">TEXT(DEC2BIN(A3,6),"000000")</f>
        <v>000001</v>
      </c>
      <c r="C3" s="5" t="s">
        <v>8</v>
      </c>
      <c r="D3" s="5" t="s">
        <v>224</v>
      </c>
      <c r="E3" s="5" t="s">
        <v>225</v>
      </c>
      <c r="F3" s="5" t="s">
        <v>219</v>
      </c>
      <c r="G3" s="5">
        <v>45997</v>
      </c>
      <c r="H3" s="5" t="s">
        <v>13</v>
      </c>
      <c r="I3" s="5" t="s">
        <v>14</v>
      </c>
      <c r="J3" s="5" t="s">
        <v>707</v>
      </c>
      <c r="K3" s="5" t="s">
        <v>14</v>
      </c>
      <c r="L3" s="5" t="s">
        <v>15</v>
      </c>
      <c r="M3" s="5">
        <v>2400</v>
      </c>
      <c r="N3" s="5" t="s">
        <v>104</v>
      </c>
      <c r="O3" s="5" t="s">
        <v>172</v>
      </c>
    </row>
    <row r="4" spans="1:15" x14ac:dyDescent="0.25">
      <c r="A4" s="5">
        <v>2</v>
      </c>
      <c r="B4" s="5" t="str">
        <f t="shared" si="0"/>
        <v>000010</v>
      </c>
      <c r="C4" s="5" t="s">
        <v>8</v>
      </c>
      <c r="D4" s="5" t="s">
        <v>222</v>
      </c>
      <c r="E4" s="5" t="s">
        <v>226</v>
      </c>
      <c r="F4" s="5" t="s">
        <v>218</v>
      </c>
      <c r="G4" s="5">
        <v>45997</v>
      </c>
      <c r="H4" s="5" t="s">
        <v>16</v>
      </c>
      <c r="I4" s="5" t="s">
        <v>9</v>
      </c>
      <c r="J4" s="5" t="s">
        <v>706</v>
      </c>
      <c r="K4" s="5" t="s">
        <v>14</v>
      </c>
      <c r="L4" s="5" t="s">
        <v>12</v>
      </c>
      <c r="M4" s="5">
        <v>1650</v>
      </c>
      <c r="N4" s="5" t="s">
        <v>100</v>
      </c>
      <c r="O4" s="5" t="s">
        <v>173</v>
      </c>
    </row>
    <row r="5" spans="1:15" x14ac:dyDescent="0.25">
      <c r="A5" s="5">
        <v>3</v>
      </c>
      <c r="B5" s="5" t="str">
        <f t="shared" si="0"/>
        <v>000011</v>
      </c>
      <c r="C5" s="5" t="s">
        <v>8</v>
      </c>
      <c r="D5" s="5" t="s">
        <v>222</v>
      </c>
      <c r="E5" s="5" t="s">
        <v>227</v>
      </c>
      <c r="F5" s="5" t="s">
        <v>218</v>
      </c>
      <c r="G5" s="5">
        <v>42583</v>
      </c>
      <c r="H5" s="5" t="s">
        <v>17</v>
      </c>
      <c r="I5" s="5" t="s">
        <v>9</v>
      </c>
      <c r="J5" s="5" t="s">
        <v>706</v>
      </c>
      <c r="K5" s="5" t="s">
        <v>18</v>
      </c>
      <c r="L5" s="5" t="s">
        <v>12</v>
      </c>
      <c r="M5" s="5">
        <v>3150</v>
      </c>
      <c r="N5" s="5" t="s">
        <v>104</v>
      </c>
      <c r="O5" s="5" t="s">
        <v>174</v>
      </c>
    </row>
    <row r="6" spans="1:15" x14ac:dyDescent="0.25">
      <c r="A6" s="5">
        <v>4</v>
      </c>
      <c r="B6" s="5" t="str">
        <f t="shared" si="0"/>
        <v>000100</v>
      </c>
      <c r="C6" s="5" t="s">
        <v>8</v>
      </c>
      <c r="D6" s="5" t="s">
        <v>222</v>
      </c>
      <c r="E6" s="5" t="s">
        <v>228</v>
      </c>
      <c r="F6" s="5" t="s">
        <v>218</v>
      </c>
      <c r="G6" s="5">
        <v>45997</v>
      </c>
      <c r="H6" s="5" t="s">
        <v>19</v>
      </c>
      <c r="I6" s="5" t="s">
        <v>9</v>
      </c>
      <c r="J6" s="5" t="s">
        <v>706</v>
      </c>
      <c r="K6" s="5" t="s">
        <v>14</v>
      </c>
      <c r="L6" s="5" t="s">
        <v>20</v>
      </c>
      <c r="M6" s="5">
        <v>2300</v>
      </c>
      <c r="N6" s="5" t="s">
        <v>100</v>
      </c>
      <c r="O6" s="5" t="s">
        <v>175</v>
      </c>
    </row>
    <row r="7" spans="1:15" x14ac:dyDescent="0.25">
      <c r="A7" s="5">
        <v>5</v>
      </c>
      <c r="B7" s="5" t="str">
        <f t="shared" si="0"/>
        <v>000101</v>
      </c>
      <c r="C7" s="5" t="s">
        <v>8</v>
      </c>
      <c r="D7" s="5" t="s">
        <v>224</v>
      </c>
      <c r="E7" s="5" t="s">
        <v>229</v>
      </c>
      <c r="F7" s="5" t="s">
        <v>219</v>
      </c>
      <c r="G7" s="5">
        <v>45873</v>
      </c>
      <c r="H7" s="5" t="s">
        <v>21</v>
      </c>
      <c r="I7" s="5" t="s">
        <v>14</v>
      </c>
      <c r="J7" s="5" t="s">
        <v>708</v>
      </c>
      <c r="K7" s="5" t="s">
        <v>14</v>
      </c>
      <c r="L7" s="5" t="s">
        <v>22</v>
      </c>
      <c r="M7" s="5">
        <v>1550</v>
      </c>
      <c r="N7" s="5" t="s">
        <v>104</v>
      </c>
      <c r="O7" s="5" t="s">
        <v>176</v>
      </c>
    </row>
    <row r="8" spans="1:15" x14ac:dyDescent="0.25">
      <c r="A8" s="5">
        <v>6</v>
      </c>
      <c r="B8" s="5" t="str">
        <f t="shared" si="0"/>
        <v>000110</v>
      </c>
      <c r="C8" s="5" t="s">
        <v>8</v>
      </c>
      <c r="D8" s="5" t="s">
        <v>222</v>
      </c>
      <c r="E8" s="5" t="s">
        <v>230</v>
      </c>
      <c r="F8" s="5" t="s">
        <v>218</v>
      </c>
      <c r="G8" s="5">
        <v>45997</v>
      </c>
      <c r="H8" s="5" t="s">
        <v>23</v>
      </c>
      <c r="I8" s="5" t="s">
        <v>9</v>
      </c>
      <c r="J8" s="5" t="s">
        <v>706</v>
      </c>
      <c r="K8" s="5" t="s">
        <v>14</v>
      </c>
      <c r="L8" s="5" t="s">
        <v>20</v>
      </c>
      <c r="M8" s="5">
        <v>2700</v>
      </c>
      <c r="N8" s="5" t="s">
        <v>104</v>
      </c>
      <c r="O8" s="5" t="s">
        <v>177</v>
      </c>
    </row>
    <row r="9" spans="1:15" x14ac:dyDescent="0.25">
      <c r="A9" s="5">
        <v>7</v>
      </c>
      <c r="B9" s="5" t="str">
        <f t="shared" si="0"/>
        <v>000111</v>
      </c>
      <c r="C9" s="5" t="s">
        <v>8</v>
      </c>
      <c r="D9" s="5" t="s">
        <v>222</v>
      </c>
      <c r="E9" s="5" t="s">
        <v>231</v>
      </c>
      <c r="F9" s="5" t="s">
        <v>218</v>
      </c>
      <c r="G9" s="5">
        <v>42583</v>
      </c>
      <c r="H9" s="5" t="s">
        <v>24</v>
      </c>
      <c r="I9" s="5" t="s">
        <v>9</v>
      </c>
      <c r="J9" s="5" t="s">
        <v>14</v>
      </c>
      <c r="K9" s="5" t="s">
        <v>14</v>
      </c>
      <c r="L9" s="5" t="s">
        <v>20</v>
      </c>
      <c r="M9" s="5">
        <v>3050</v>
      </c>
      <c r="N9" s="5" t="s">
        <v>100</v>
      </c>
      <c r="O9" s="5" t="s">
        <v>178</v>
      </c>
    </row>
    <row r="10" spans="1:15" x14ac:dyDescent="0.25">
      <c r="A10" s="5">
        <v>8</v>
      </c>
      <c r="B10" s="5" t="str">
        <f t="shared" si="0"/>
        <v>001000</v>
      </c>
      <c r="C10" s="6" t="s">
        <v>25</v>
      </c>
      <c r="D10" s="6" t="s">
        <v>224</v>
      </c>
      <c r="E10" s="6" t="s">
        <v>232</v>
      </c>
      <c r="F10" s="6" t="s">
        <v>219</v>
      </c>
      <c r="G10" s="6" t="s">
        <v>26</v>
      </c>
      <c r="H10" s="6" t="s">
        <v>27</v>
      </c>
      <c r="I10" s="6" t="s">
        <v>9</v>
      </c>
      <c r="J10" s="6" t="s">
        <v>14</v>
      </c>
      <c r="K10" s="6" t="s">
        <v>28</v>
      </c>
      <c r="L10" s="6" t="s">
        <v>29</v>
      </c>
      <c r="M10" s="6">
        <v>5500</v>
      </c>
      <c r="N10" s="6" t="s">
        <v>104</v>
      </c>
      <c r="O10" s="6" t="s">
        <v>179</v>
      </c>
    </row>
    <row r="11" spans="1:15" x14ac:dyDescent="0.25">
      <c r="A11" s="5">
        <v>9</v>
      </c>
      <c r="B11" s="5" t="str">
        <f t="shared" si="0"/>
        <v>001001</v>
      </c>
      <c r="C11" s="6" t="s">
        <v>25</v>
      </c>
      <c r="D11" s="6" t="s">
        <v>224</v>
      </c>
      <c r="E11" s="6" t="s">
        <v>233</v>
      </c>
      <c r="F11" s="6" t="s">
        <v>219</v>
      </c>
      <c r="G11" s="6" t="s">
        <v>26</v>
      </c>
      <c r="H11" s="6" t="s">
        <v>30</v>
      </c>
      <c r="I11" s="6" t="s">
        <v>9</v>
      </c>
      <c r="J11" s="6" t="s">
        <v>14</v>
      </c>
      <c r="K11" s="6" t="s">
        <v>28</v>
      </c>
      <c r="L11" s="6" t="s">
        <v>29</v>
      </c>
      <c r="M11" s="6">
        <v>5700</v>
      </c>
      <c r="N11" s="6" t="s">
        <v>104</v>
      </c>
      <c r="O11" s="6" t="s">
        <v>180</v>
      </c>
    </row>
    <row r="12" spans="1:15" x14ac:dyDescent="0.25">
      <c r="A12" s="5">
        <v>10</v>
      </c>
      <c r="B12" s="5" t="str">
        <f t="shared" si="0"/>
        <v>001010</v>
      </c>
      <c r="C12" s="6" t="s">
        <v>25</v>
      </c>
      <c r="D12" s="6" t="s">
        <v>224</v>
      </c>
      <c r="E12" s="6" t="s">
        <v>234</v>
      </c>
      <c r="F12" s="6" t="s">
        <v>219</v>
      </c>
      <c r="G12" s="6" t="s">
        <v>31</v>
      </c>
      <c r="H12" s="6" t="s">
        <v>32</v>
      </c>
      <c r="I12" s="6" t="s">
        <v>14</v>
      </c>
      <c r="J12" s="6" t="s">
        <v>707</v>
      </c>
      <c r="K12" s="6" t="s">
        <v>33</v>
      </c>
      <c r="L12" s="6" t="s">
        <v>34</v>
      </c>
      <c r="M12" s="6">
        <v>3800</v>
      </c>
      <c r="N12" s="6" t="s">
        <v>104</v>
      </c>
      <c r="O12" s="6" t="s">
        <v>181</v>
      </c>
    </row>
    <row r="13" spans="1:15" x14ac:dyDescent="0.25">
      <c r="A13" s="5">
        <v>11</v>
      </c>
      <c r="B13" s="5" t="str">
        <f t="shared" si="0"/>
        <v>001011</v>
      </c>
      <c r="C13" s="6" t="s">
        <v>25</v>
      </c>
      <c r="D13" s="6" t="s">
        <v>222</v>
      </c>
      <c r="E13" s="6" t="s">
        <v>235</v>
      </c>
      <c r="F13" s="6" t="s">
        <v>220</v>
      </c>
      <c r="G13" s="6">
        <v>45997</v>
      </c>
      <c r="H13" s="6" t="s">
        <v>35</v>
      </c>
      <c r="I13" s="6" t="s">
        <v>9</v>
      </c>
      <c r="J13" s="6" t="s">
        <v>706</v>
      </c>
      <c r="K13" s="6" t="s">
        <v>36</v>
      </c>
      <c r="L13" s="6" t="s">
        <v>20</v>
      </c>
      <c r="M13" s="6">
        <v>3750</v>
      </c>
      <c r="N13" s="6" t="s">
        <v>100</v>
      </c>
      <c r="O13" s="6" t="s">
        <v>182</v>
      </c>
    </row>
    <row r="14" spans="1:15" x14ac:dyDescent="0.25">
      <c r="A14" s="5">
        <v>12</v>
      </c>
      <c r="B14" s="5" t="str">
        <f t="shared" si="0"/>
        <v>001100</v>
      </c>
      <c r="C14" s="6" t="s">
        <v>25</v>
      </c>
      <c r="D14" s="6" t="s">
        <v>222</v>
      </c>
      <c r="E14" s="6" t="s">
        <v>236</v>
      </c>
      <c r="F14" s="6" t="s">
        <v>220</v>
      </c>
      <c r="G14" s="6">
        <v>42583</v>
      </c>
      <c r="H14" s="6" t="s">
        <v>37</v>
      </c>
      <c r="I14" s="6" t="s">
        <v>9</v>
      </c>
      <c r="J14" s="6" t="s">
        <v>14</v>
      </c>
      <c r="K14" s="6" t="s">
        <v>36</v>
      </c>
      <c r="L14" s="6" t="s">
        <v>38</v>
      </c>
      <c r="M14" s="6">
        <v>6900</v>
      </c>
      <c r="N14" s="6" t="s">
        <v>104</v>
      </c>
      <c r="O14" s="6" t="s">
        <v>183</v>
      </c>
    </row>
    <row r="15" spans="1:15" x14ac:dyDescent="0.25">
      <c r="A15" s="5">
        <v>13</v>
      </c>
      <c r="B15" s="5" t="str">
        <f t="shared" si="0"/>
        <v>001101</v>
      </c>
      <c r="C15" s="6" t="s">
        <v>25</v>
      </c>
      <c r="D15" s="6" t="s">
        <v>222</v>
      </c>
      <c r="E15" s="6" t="s">
        <v>237</v>
      </c>
      <c r="F15" s="6" t="s">
        <v>218</v>
      </c>
      <c r="G15" s="6">
        <v>42583</v>
      </c>
      <c r="H15" s="6" t="s">
        <v>39</v>
      </c>
      <c r="I15" s="6" t="s">
        <v>14</v>
      </c>
      <c r="J15" s="6" t="s">
        <v>14</v>
      </c>
      <c r="K15" s="6" t="s">
        <v>14</v>
      </c>
      <c r="L15" s="6" t="s">
        <v>38</v>
      </c>
      <c r="M15" s="6">
        <v>5700</v>
      </c>
      <c r="N15" s="6" t="s">
        <v>100</v>
      </c>
      <c r="O15" s="6" t="s">
        <v>184</v>
      </c>
    </row>
    <row r="16" spans="1:15" x14ac:dyDescent="0.25">
      <c r="A16" s="5">
        <v>14</v>
      </c>
      <c r="B16" s="5" t="str">
        <f t="shared" si="0"/>
        <v>001110</v>
      </c>
      <c r="C16" s="6" t="s">
        <v>25</v>
      </c>
      <c r="D16" s="6" t="s">
        <v>224</v>
      </c>
      <c r="E16" s="6" t="s">
        <v>238</v>
      </c>
      <c r="F16" s="6" t="s">
        <v>219</v>
      </c>
      <c r="G16" s="6" t="s">
        <v>31</v>
      </c>
      <c r="H16" s="6" t="s">
        <v>32</v>
      </c>
      <c r="I16" s="6" t="s">
        <v>14</v>
      </c>
      <c r="J16" s="6" t="s">
        <v>707</v>
      </c>
      <c r="K16" s="6" t="s">
        <v>14</v>
      </c>
      <c r="L16" s="6" t="s">
        <v>34</v>
      </c>
      <c r="M16" s="6">
        <v>3550</v>
      </c>
      <c r="N16" s="6" t="s">
        <v>104</v>
      </c>
      <c r="O16" s="6" t="s">
        <v>185</v>
      </c>
    </row>
    <row r="17" spans="1:15" x14ac:dyDescent="0.25">
      <c r="A17" s="5">
        <v>15</v>
      </c>
      <c r="B17" s="5" t="str">
        <f t="shared" si="0"/>
        <v>001111</v>
      </c>
      <c r="C17" s="6" t="s">
        <v>25</v>
      </c>
      <c r="D17" s="6" t="s">
        <v>222</v>
      </c>
      <c r="E17" s="6" t="s">
        <v>239</v>
      </c>
      <c r="F17" s="6" t="s">
        <v>218</v>
      </c>
      <c r="G17" s="6">
        <v>45627</v>
      </c>
      <c r="H17" s="6" t="s">
        <v>40</v>
      </c>
      <c r="I17" s="6" t="s">
        <v>9</v>
      </c>
      <c r="J17" s="6" t="s">
        <v>14</v>
      </c>
      <c r="K17" s="6" t="s">
        <v>14</v>
      </c>
      <c r="L17" s="6" t="s">
        <v>41</v>
      </c>
      <c r="M17" s="6">
        <v>5350</v>
      </c>
      <c r="N17" s="6" t="s">
        <v>100</v>
      </c>
      <c r="O17" s="6" t="s">
        <v>186</v>
      </c>
    </row>
    <row r="18" spans="1:15" x14ac:dyDescent="0.25">
      <c r="A18" s="5">
        <v>16</v>
      </c>
      <c r="B18" s="5" t="str">
        <f t="shared" si="0"/>
        <v>010000</v>
      </c>
      <c r="C18" s="6" t="s">
        <v>25</v>
      </c>
      <c r="D18" s="6" t="s">
        <v>222</v>
      </c>
      <c r="E18" s="6" t="s">
        <v>240</v>
      </c>
      <c r="F18" s="6" t="s">
        <v>218</v>
      </c>
      <c r="G18" s="6">
        <v>42583</v>
      </c>
      <c r="H18" s="6" t="s">
        <v>42</v>
      </c>
      <c r="I18" s="6" t="s">
        <v>9</v>
      </c>
      <c r="J18" s="6" t="s">
        <v>14</v>
      </c>
      <c r="K18" s="6" t="s">
        <v>14</v>
      </c>
      <c r="L18" s="6" t="s">
        <v>20</v>
      </c>
      <c r="M18" s="6">
        <v>3800</v>
      </c>
      <c r="N18" s="6" t="s">
        <v>104</v>
      </c>
      <c r="O18" s="6" t="s">
        <v>187</v>
      </c>
    </row>
    <row r="19" spans="1:15" x14ac:dyDescent="0.25">
      <c r="A19" s="5">
        <v>17</v>
      </c>
      <c r="B19" s="5" t="str">
        <f t="shared" si="0"/>
        <v>010001</v>
      </c>
      <c r="C19" s="5" t="s">
        <v>43</v>
      </c>
      <c r="D19" s="5" t="s">
        <v>224</v>
      </c>
      <c r="E19" s="5" t="s">
        <v>241</v>
      </c>
      <c r="F19" s="5" t="s">
        <v>219</v>
      </c>
      <c r="G19" s="5" t="s">
        <v>44</v>
      </c>
      <c r="H19" s="5" t="s">
        <v>45</v>
      </c>
      <c r="I19" s="5" t="s">
        <v>9</v>
      </c>
      <c r="J19" s="5" t="s">
        <v>14</v>
      </c>
      <c r="K19" s="5" t="s">
        <v>28</v>
      </c>
      <c r="L19" s="5" t="s">
        <v>46</v>
      </c>
      <c r="M19" s="5">
        <v>7600</v>
      </c>
      <c r="N19" s="5" t="s">
        <v>104</v>
      </c>
      <c r="O19" s="5" t="s">
        <v>188</v>
      </c>
    </row>
    <row r="20" spans="1:15" x14ac:dyDescent="0.25">
      <c r="A20" s="5">
        <v>18</v>
      </c>
      <c r="B20" s="5" t="str">
        <f t="shared" si="0"/>
        <v>010010</v>
      </c>
      <c r="C20" s="5" t="s">
        <v>43</v>
      </c>
      <c r="D20" s="5" t="s">
        <v>224</v>
      </c>
      <c r="E20" s="5" t="s">
        <v>242</v>
      </c>
      <c r="F20" s="5" t="s">
        <v>219</v>
      </c>
      <c r="G20" s="5" t="s">
        <v>31</v>
      </c>
      <c r="H20" s="5" t="s">
        <v>47</v>
      </c>
      <c r="I20" s="5" t="s">
        <v>9</v>
      </c>
      <c r="J20" s="5" t="s">
        <v>14</v>
      </c>
      <c r="K20" s="5" t="s">
        <v>28</v>
      </c>
      <c r="L20" s="5" t="s">
        <v>34</v>
      </c>
      <c r="M20" s="5">
        <v>4100</v>
      </c>
      <c r="N20" s="5" t="s">
        <v>104</v>
      </c>
      <c r="O20" s="5" t="s">
        <v>189</v>
      </c>
    </row>
    <row r="21" spans="1:15" x14ac:dyDescent="0.25">
      <c r="A21" s="5">
        <v>19</v>
      </c>
      <c r="B21" s="5" t="str">
        <f t="shared" si="0"/>
        <v>010011</v>
      </c>
      <c r="C21" s="5" t="s">
        <v>43</v>
      </c>
      <c r="D21" s="5" t="s">
        <v>222</v>
      </c>
      <c r="E21" s="5" t="s">
        <v>714</v>
      </c>
      <c r="F21" s="5" t="s">
        <v>220</v>
      </c>
      <c r="G21" s="5">
        <v>45997</v>
      </c>
      <c r="H21" s="5" t="s">
        <v>712</v>
      </c>
      <c r="I21" s="5" t="s">
        <v>9</v>
      </c>
      <c r="J21" s="5" t="s">
        <v>715</v>
      </c>
      <c r="K21" s="5" t="s">
        <v>713</v>
      </c>
      <c r="L21" s="5" t="s">
        <v>12</v>
      </c>
      <c r="M21" s="5">
        <v>3950</v>
      </c>
      <c r="N21" s="5" t="s">
        <v>104</v>
      </c>
      <c r="O21" s="5" t="s">
        <v>716</v>
      </c>
    </row>
    <row r="22" spans="1:15" x14ac:dyDescent="0.25">
      <c r="A22" s="5">
        <v>20</v>
      </c>
      <c r="B22" s="5" t="str">
        <f t="shared" si="0"/>
        <v>010100</v>
      </c>
      <c r="C22" s="5" t="s">
        <v>43</v>
      </c>
      <c r="D22" s="5" t="s">
        <v>222</v>
      </c>
      <c r="E22" s="5" t="s">
        <v>243</v>
      </c>
      <c r="F22" s="5" t="s">
        <v>220</v>
      </c>
      <c r="G22" s="5">
        <v>42583</v>
      </c>
      <c r="H22" s="5" t="s">
        <v>48</v>
      </c>
      <c r="I22" s="5" t="s">
        <v>9</v>
      </c>
      <c r="J22" s="5" t="s">
        <v>709</v>
      </c>
      <c r="K22" s="5" t="s">
        <v>49</v>
      </c>
      <c r="L22" s="5" t="s">
        <v>12</v>
      </c>
      <c r="M22" s="5">
        <v>5800</v>
      </c>
      <c r="N22" s="5" t="s">
        <v>100</v>
      </c>
      <c r="O22" s="5" t="s">
        <v>190</v>
      </c>
    </row>
    <row r="23" spans="1:15" x14ac:dyDescent="0.25">
      <c r="A23" s="5">
        <v>21</v>
      </c>
      <c r="B23" s="5" t="str">
        <f t="shared" si="0"/>
        <v>010101</v>
      </c>
      <c r="C23" s="5" t="s">
        <v>43</v>
      </c>
      <c r="D23" s="5" t="s">
        <v>224</v>
      </c>
      <c r="E23" s="5" t="s">
        <v>244</v>
      </c>
      <c r="F23" s="5" t="s">
        <v>219</v>
      </c>
      <c r="G23" s="5" t="s">
        <v>50</v>
      </c>
      <c r="H23" s="5" t="s">
        <v>51</v>
      </c>
      <c r="I23" s="5" t="s">
        <v>9</v>
      </c>
      <c r="J23" s="5" t="s">
        <v>14</v>
      </c>
      <c r="K23" s="5" t="s">
        <v>28</v>
      </c>
      <c r="L23" s="5" t="s">
        <v>52</v>
      </c>
      <c r="M23" s="5">
        <v>6800</v>
      </c>
      <c r="N23" s="5" t="s">
        <v>104</v>
      </c>
      <c r="O23" s="5" t="s">
        <v>191</v>
      </c>
    </row>
    <row r="24" spans="1:15" x14ac:dyDescent="0.25">
      <c r="A24" s="5">
        <v>22</v>
      </c>
      <c r="B24" s="5" t="str">
        <f t="shared" si="0"/>
        <v>010110</v>
      </c>
      <c r="C24" s="5" t="s">
        <v>43</v>
      </c>
      <c r="D24" s="5" t="s">
        <v>222</v>
      </c>
      <c r="E24" s="5" t="s">
        <v>245</v>
      </c>
      <c r="F24" s="5" t="s">
        <v>220</v>
      </c>
      <c r="G24" s="5">
        <v>45627</v>
      </c>
      <c r="H24" s="5" t="s">
        <v>53</v>
      </c>
      <c r="I24" s="5" t="s">
        <v>9</v>
      </c>
      <c r="J24" s="5" t="s">
        <v>14</v>
      </c>
      <c r="K24" s="5" t="s">
        <v>36</v>
      </c>
      <c r="L24" s="5" t="s">
        <v>41</v>
      </c>
      <c r="M24" s="5">
        <v>7500</v>
      </c>
      <c r="N24" s="5" t="s">
        <v>104</v>
      </c>
      <c r="O24" s="5" t="s">
        <v>192</v>
      </c>
    </row>
    <row r="25" spans="1:15" x14ac:dyDescent="0.25">
      <c r="A25" s="5">
        <v>23</v>
      </c>
      <c r="B25" s="5" t="str">
        <f t="shared" si="0"/>
        <v>010111</v>
      </c>
      <c r="C25" s="5" t="s">
        <v>43</v>
      </c>
      <c r="D25" s="5" t="s">
        <v>222</v>
      </c>
      <c r="E25" s="5" t="s">
        <v>246</v>
      </c>
      <c r="F25" s="5" t="s">
        <v>220</v>
      </c>
      <c r="G25" s="5" t="s">
        <v>54</v>
      </c>
      <c r="H25" s="5" t="s">
        <v>55</v>
      </c>
      <c r="I25" s="5" t="s">
        <v>9</v>
      </c>
      <c r="J25" s="5" t="s">
        <v>14</v>
      </c>
      <c r="K25" s="5" t="s">
        <v>36</v>
      </c>
      <c r="L25" s="5" t="s">
        <v>41</v>
      </c>
      <c r="M25" s="5">
        <v>10250</v>
      </c>
      <c r="N25" s="5" t="s">
        <v>104</v>
      </c>
      <c r="O25" s="5" t="s">
        <v>193</v>
      </c>
    </row>
    <row r="26" spans="1:15" x14ac:dyDescent="0.25">
      <c r="A26" s="5">
        <v>24</v>
      </c>
      <c r="B26" s="5" t="str">
        <f t="shared" si="0"/>
        <v>011000</v>
      </c>
      <c r="C26" s="5" t="s">
        <v>43</v>
      </c>
      <c r="D26" s="5" t="s">
        <v>224</v>
      </c>
      <c r="E26" s="5" t="s">
        <v>247</v>
      </c>
      <c r="F26" s="5" t="s">
        <v>219</v>
      </c>
      <c r="G26" s="5" t="s">
        <v>56</v>
      </c>
      <c r="H26" s="5" t="s">
        <v>57</v>
      </c>
      <c r="I26" s="5" t="s">
        <v>9</v>
      </c>
      <c r="J26" s="5" t="s">
        <v>14</v>
      </c>
      <c r="K26" s="5" t="s">
        <v>28</v>
      </c>
      <c r="L26" s="5" t="s">
        <v>58</v>
      </c>
      <c r="M26" s="5">
        <v>11000</v>
      </c>
      <c r="N26" s="5" t="s">
        <v>104</v>
      </c>
      <c r="O26" s="5" t="s">
        <v>194</v>
      </c>
    </row>
    <row r="27" spans="1:15" x14ac:dyDescent="0.25">
      <c r="A27" s="5">
        <v>25</v>
      </c>
      <c r="B27" s="5" t="str">
        <f t="shared" si="0"/>
        <v>011001</v>
      </c>
      <c r="C27" s="6" t="s">
        <v>59</v>
      </c>
      <c r="D27" s="6" t="s">
        <v>222</v>
      </c>
      <c r="E27" s="6" t="s">
        <v>248</v>
      </c>
      <c r="F27" s="6" t="s">
        <v>218</v>
      </c>
      <c r="G27" s="6">
        <v>45997</v>
      </c>
      <c r="H27" s="6" t="s">
        <v>16</v>
      </c>
      <c r="I27" s="6" t="s">
        <v>9</v>
      </c>
      <c r="J27" s="6" t="s">
        <v>706</v>
      </c>
      <c r="K27" s="6" t="s">
        <v>14</v>
      </c>
      <c r="L27" s="6" t="s">
        <v>20</v>
      </c>
      <c r="M27" s="6">
        <v>1200</v>
      </c>
      <c r="N27" s="6" t="s">
        <v>195</v>
      </c>
      <c r="O27" s="6" t="s">
        <v>196</v>
      </c>
    </row>
    <row r="28" spans="1:15" x14ac:dyDescent="0.25">
      <c r="A28" s="5">
        <v>26</v>
      </c>
      <c r="B28" s="5" t="str">
        <f t="shared" si="0"/>
        <v>011010</v>
      </c>
      <c r="C28" s="6" t="s">
        <v>59</v>
      </c>
      <c r="D28" s="6" t="s">
        <v>224</v>
      </c>
      <c r="E28" s="6" t="s">
        <v>249</v>
      </c>
      <c r="F28" s="6" t="s">
        <v>219</v>
      </c>
      <c r="G28" s="6" t="s">
        <v>50</v>
      </c>
      <c r="H28" s="6" t="s">
        <v>60</v>
      </c>
      <c r="I28" s="6" t="s">
        <v>9</v>
      </c>
      <c r="J28" s="6" t="s">
        <v>14</v>
      </c>
      <c r="K28" s="6" t="s">
        <v>28</v>
      </c>
      <c r="L28" s="6" t="s">
        <v>52</v>
      </c>
      <c r="M28" s="6">
        <v>6500</v>
      </c>
      <c r="N28" s="6" t="s">
        <v>104</v>
      </c>
      <c r="O28" s="6" t="s">
        <v>197</v>
      </c>
    </row>
    <row r="29" spans="1:15" x14ac:dyDescent="0.25">
      <c r="A29" s="5">
        <v>27</v>
      </c>
      <c r="B29" s="5" t="str">
        <f t="shared" si="0"/>
        <v>011011</v>
      </c>
      <c r="C29" s="6" t="s">
        <v>59</v>
      </c>
      <c r="D29" s="6" t="s">
        <v>222</v>
      </c>
      <c r="E29" s="6" t="s">
        <v>250</v>
      </c>
      <c r="F29" s="6" t="s">
        <v>218</v>
      </c>
      <c r="G29" s="6" t="s">
        <v>54</v>
      </c>
      <c r="H29" s="6" t="s">
        <v>61</v>
      </c>
      <c r="I29" s="6" t="s">
        <v>9</v>
      </c>
      <c r="J29" s="6" t="s">
        <v>14</v>
      </c>
      <c r="K29" s="6" t="s">
        <v>14</v>
      </c>
      <c r="L29" s="6" t="s">
        <v>41</v>
      </c>
      <c r="M29" s="6">
        <v>8000</v>
      </c>
      <c r="N29" s="6" t="s">
        <v>100</v>
      </c>
      <c r="O29" s="6" t="s">
        <v>198</v>
      </c>
    </row>
    <row r="30" spans="1:15" x14ac:dyDescent="0.25">
      <c r="A30" s="5">
        <v>28</v>
      </c>
      <c r="B30" s="5" t="str">
        <f t="shared" si="0"/>
        <v>011100</v>
      </c>
      <c r="C30" s="6" t="s">
        <v>59</v>
      </c>
      <c r="D30" s="6" t="s">
        <v>222</v>
      </c>
      <c r="E30" s="6" t="s">
        <v>251</v>
      </c>
      <c r="F30" s="6" t="s">
        <v>218</v>
      </c>
      <c r="G30" s="6">
        <v>45997</v>
      </c>
      <c r="H30" s="6" t="s">
        <v>62</v>
      </c>
      <c r="I30" s="6" t="s">
        <v>9</v>
      </c>
      <c r="J30" s="6" t="s">
        <v>706</v>
      </c>
      <c r="K30" s="6" t="s">
        <v>11</v>
      </c>
      <c r="L30" s="6" t="s">
        <v>63</v>
      </c>
      <c r="M30" s="6">
        <v>1400</v>
      </c>
      <c r="N30" s="6" t="s">
        <v>104</v>
      </c>
      <c r="O30" s="6" t="s">
        <v>199</v>
      </c>
    </row>
    <row r="31" spans="1:15" x14ac:dyDescent="0.25">
      <c r="A31" s="5">
        <v>29</v>
      </c>
      <c r="B31" s="5" t="str">
        <f t="shared" si="0"/>
        <v>011101</v>
      </c>
      <c r="C31" s="6" t="s">
        <v>59</v>
      </c>
      <c r="D31" s="6" t="s">
        <v>222</v>
      </c>
      <c r="E31" s="6" t="s">
        <v>64</v>
      </c>
      <c r="F31" s="6" t="s">
        <v>218</v>
      </c>
      <c r="G31" s="6">
        <v>42583</v>
      </c>
      <c r="H31" s="6" t="s">
        <v>65</v>
      </c>
      <c r="I31" s="6" t="s">
        <v>9</v>
      </c>
      <c r="J31" s="6" t="s">
        <v>710</v>
      </c>
      <c r="K31" s="6" t="s">
        <v>14</v>
      </c>
      <c r="L31" s="6" t="s">
        <v>20</v>
      </c>
      <c r="M31" s="6">
        <v>2000</v>
      </c>
      <c r="N31" s="6" t="s">
        <v>195</v>
      </c>
      <c r="O31" s="6" t="s">
        <v>200</v>
      </c>
    </row>
    <row r="32" spans="1:15" x14ac:dyDescent="0.25">
      <c r="A32" s="5">
        <v>30</v>
      </c>
      <c r="B32" s="5" t="str">
        <f t="shared" si="0"/>
        <v>011110</v>
      </c>
      <c r="C32" s="6" t="s">
        <v>59</v>
      </c>
      <c r="D32" s="6" t="s">
        <v>222</v>
      </c>
      <c r="E32" s="6" t="s">
        <v>252</v>
      </c>
      <c r="F32" s="6" t="s">
        <v>218</v>
      </c>
      <c r="G32" s="6">
        <v>45997</v>
      </c>
      <c r="H32" s="6" t="s">
        <v>66</v>
      </c>
      <c r="I32" s="6" t="s">
        <v>9</v>
      </c>
      <c r="J32" s="6" t="s">
        <v>706</v>
      </c>
      <c r="K32" s="6" t="s">
        <v>14</v>
      </c>
      <c r="L32" s="6" t="s">
        <v>63</v>
      </c>
      <c r="M32" s="6">
        <v>1100</v>
      </c>
      <c r="N32" s="6" t="s">
        <v>100</v>
      </c>
      <c r="O32" s="6" t="s">
        <v>201</v>
      </c>
    </row>
    <row r="33" spans="1:15" x14ac:dyDescent="0.25">
      <c r="A33" s="5">
        <v>31</v>
      </c>
      <c r="B33" s="5" t="str">
        <f t="shared" si="0"/>
        <v>011111</v>
      </c>
      <c r="C33" s="6" t="s">
        <v>59</v>
      </c>
      <c r="D33" s="6" t="s">
        <v>222</v>
      </c>
      <c r="E33" s="6" t="s">
        <v>253</v>
      </c>
      <c r="F33" s="6" t="s">
        <v>220</v>
      </c>
      <c r="G33" s="6" t="s">
        <v>54</v>
      </c>
      <c r="H33" s="6" t="s">
        <v>67</v>
      </c>
      <c r="I33" s="6" t="s">
        <v>9</v>
      </c>
      <c r="J33" s="6" t="s">
        <v>14</v>
      </c>
      <c r="K33" s="6" t="s">
        <v>36</v>
      </c>
      <c r="L33" s="6" t="s">
        <v>68</v>
      </c>
      <c r="M33" s="6">
        <v>12000</v>
      </c>
      <c r="N33" s="6" t="s">
        <v>104</v>
      </c>
      <c r="O33" s="6" t="s">
        <v>202</v>
      </c>
    </row>
    <row r="34" spans="1:15" x14ac:dyDescent="0.25">
      <c r="A34" s="5">
        <v>32</v>
      </c>
      <c r="B34" s="5" t="str">
        <f t="shared" si="0"/>
        <v>100000</v>
      </c>
      <c r="C34" s="6" t="s">
        <v>59</v>
      </c>
      <c r="D34" s="6" t="s">
        <v>222</v>
      </c>
      <c r="E34" s="6" t="s">
        <v>254</v>
      </c>
      <c r="F34" s="6" t="s">
        <v>220</v>
      </c>
      <c r="G34" s="6">
        <v>45627</v>
      </c>
      <c r="H34" s="6" t="s">
        <v>69</v>
      </c>
      <c r="I34" s="6" t="s">
        <v>9</v>
      </c>
      <c r="J34" s="6" t="s">
        <v>14</v>
      </c>
      <c r="K34" s="6" t="s">
        <v>36</v>
      </c>
      <c r="L34" s="6" t="s">
        <v>68</v>
      </c>
      <c r="M34" s="6">
        <v>9500</v>
      </c>
      <c r="N34" s="6" t="s">
        <v>104</v>
      </c>
      <c r="O34" s="6" t="s">
        <v>202</v>
      </c>
    </row>
    <row r="35" spans="1:15" x14ac:dyDescent="0.25">
      <c r="A35" s="5">
        <v>33</v>
      </c>
      <c r="B35" s="5" t="str">
        <f t="shared" si="0"/>
        <v>100001</v>
      </c>
      <c r="C35" s="6" t="s">
        <v>59</v>
      </c>
      <c r="D35" s="6" t="s">
        <v>224</v>
      </c>
      <c r="E35" s="6" t="s">
        <v>255</v>
      </c>
      <c r="F35" s="6" t="s">
        <v>219</v>
      </c>
      <c r="G35" s="6">
        <v>45997</v>
      </c>
      <c r="H35" s="6" t="s">
        <v>13</v>
      </c>
      <c r="I35" s="6" t="s">
        <v>14</v>
      </c>
      <c r="J35" s="6" t="s">
        <v>707</v>
      </c>
      <c r="K35" s="6" t="s">
        <v>33</v>
      </c>
      <c r="L35" s="6" t="s">
        <v>15</v>
      </c>
      <c r="M35" s="6">
        <v>2600</v>
      </c>
      <c r="N35" s="6" t="s">
        <v>100</v>
      </c>
      <c r="O35" s="6" t="s">
        <v>203</v>
      </c>
    </row>
    <row r="36" spans="1:15" x14ac:dyDescent="0.25">
      <c r="A36" s="5">
        <v>34</v>
      </c>
      <c r="B36" s="5" t="str">
        <f t="shared" si="0"/>
        <v>100010</v>
      </c>
      <c r="C36" s="5" t="s">
        <v>70</v>
      </c>
      <c r="D36" s="5" t="s">
        <v>224</v>
      </c>
      <c r="E36" s="5" t="s">
        <v>256</v>
      </c>
      <c r="F36" s="5" t="s">
        <v>219</v>
      </c>
      <c r="G36" s="5" t="s">
        <v>31</v>
      </c>
      <c r="H36" s="5" t="s">
        <v>71</v>
      </c>
      <c r="I36" s="5" t="s">
        <v>14</v>
      </c>
      <c r="J36" s="5" t="s">
        <v>707</v>
      </c>
      <c r="K36" s="5" t="s">
        <v>33</v>
      </c>
      <c r="L36" s="5" t="s">
        <v>34</v>
      </c>
      <c r="M36" s="5">
        <v>4000</v>
      </c>
      <c r="N36" s="5" t="s">
        <v>104</v>
      </c>
      <c r="O36" s="5" t="s">
        <v>204</v>
      </c>
    </row>
    <row r="37" spans="1:15" x14ac:dyDescent="0.25">
      <c r="A37" s="5">
        <v>35</v>
      </c>
      <c r="B37" s="5" t="str">
        <f t="shared" si="0"/>
        <v>100011</v>
      </c>
      <c r="C37" s="5" t="s">
        <v>70</v>
      </c>
      <c r="D37" s="5" t="s">
        <v>224</v>
      </c>
      <c r="E37" s="5" t="s">
        <v>257</v>
      </c>
      <c r="F37" s="5" t="s">
        <v>219</v>
      </c>
      <c r="G37" s="5" t="s">
        <v>50</v>
      </c>
      <c r="H37" s="5" t="s">
        <v>72</v>
      </c>
      <c r="I37" s="5" t="s">
        <v>14</v>
      </c>
      <c r="J37" s="5" t="s">
        <v>707</v>
      </c>
      <c r="K37" s="5" t="s">
        <v>14</v>
      </c>
      <c r="L37" s="5" t="s">
        <v>52</v>
      </c>
      <c r="M37" s="5">
        <v>6000</v>
      </c>
      <c r="N37" s="5" t="s">
        <v>104</v>
      </c>
      <c r="O37" s="5" t="s">
        <v>205</v>
      </c>
    </row>
    <row r="38" spans="1:15" x14ac:dyDescent="0.25">
      <c r="A38" s="5">
        <v>36</v>
      </c>
      <c r="B38" s="5" t="str">
        <f t="shared" si="0"/>
        <v>100100</v>
      </c>
      <c r="C38" s="5" t="s">
        <v>70</v>
      </c>
      <c r="D38" s="5" t="s">
        <v>224</v>
      </c>
      <c r="E38" s="5" t="s">
        <v>258</v>
      </c>
      <c r="F38" s="5" t="s">
        <v>219</v>
      </c>
      <c r="G38" s="5">
        <v>45873</v>
      </c>
      <c r="H38" s="5" t="s">
        <v>39</v>
      </c>
      <c r="I38" s="5" t="s">
        <v>14</v>
      </c>
      <c r="J38" s="5" t="s">
        <v>708</v>
      </c>
      <c r="K38" s="5" t="s">
        <v>33</v>
      </c>
      <c r="L38" s="5" t="s">
        <v>22</v>
      </c>
      <c r="M38" s="5">
        <v>2300</v>
      </c>
      <c r="N38" s="5" t="s">
        <v>100</v>
      </c>
      <c r="O38" s="5" t="s">
        <v>206</v>
      </c>
    </row>
    <row r="39" spans="1:15" x14ac:dyDescent="0.25">
      <c r="A39" s="5">
        <v>37</v>
      </c>
      <c r="B39" s="5" t="str">
        <f t="shared" si="0"/>
        <v>100101</v>
      </c>
      <c r="C39" s="5" t="s">
        <v>70</v>
      </c>
      <c r="D39" s="5" t="s">
        <v>224</v>
      </c>
      <c r="E39" s="5" t="s">
        <v>259</v>
      </c>
      <c r="F39" s="5" t="s">
        <v>219</v>
      </c>
      <c r="G39" s="5" t="s">
        <v>26</v>
      </c>
      <c r="H39" s="5" t="s">
        <v>73</v>
      </c>
      <c r="I39" s="5" t="s">
        <v>14</v>
      </c>
      <c r="J39" s="5" t="s">
        <v>707</v>
      </c>
      <c r="K39" s="5" t="s">
        <v>28</v>
      </c>
      <c r="L39" s="5" t="s">
        <v>29</v>
      </c>
      <c r="M39" s="5">
        <v>4400</v>
      </c>
      <c r="N39" s="5" t="s">
        <v>104</v>
      </c>
      <c r="O39" s="5" t="s">
        <v>207</v>
      </c>
    </row>
    <row r="40" spans="1:15" x14ac:dyDescent="0.25">
      <c r="A40" s="5">
        <v>38</v>
      </c>
      <c r="B40" s="5" t="str">
        <f t="shared" si="0"/>
        <v>100110</v>
      </c>
      <c r="C40" s="5" t="s">
        <v>70</v>
      </c>
      <c r="D40" s="5" t="s">
        <v>222</v>
      </c>
      <c r="E40" s="5" t="s">
        <v>260</v>
      </c>
      <c r="F40" s="5" t="s">
        <v>220</v>
      </c>
      <c r="G40" s="5">
        <v>45997</v>
      </c>
      <c r="H40" s="5" t="s">
        <v>74</v>
      </c>
      <c r="I40" s="5" t="s">
        <v>9</v>
      </c>
      <c r="J40" s="5" t="s">
        <v>706</v>
      </c>
      <c r="K40" s="5" t="s">
        <v>14</v>
      </c>
      <c r="L40" s="5" t="s">
        <v>20</v>
      </c>
      <c r="M40" s="5">
        <v>3000</v>
      </c>
      <c r="N40" s="5" t="s">
        <v>100</v>
      </c>
      <c r="O40" s="5" t="s">
        <v>208</v>
      </c>
    </row>
    <row r="41" spans="1:15" x14ac:dyDescent="0.25">
      <c r="A41" s="5">
        <v>39</v>
      </c>
      <c r="B41" s="5" t="str">
        <f t="shared" si="0"/>
        <v>100111</v>
      </c>
      <c r="C41" s="5" t="s">
        <v>70</v>
      </c>
      <c r="D41" s="5" t="s">
        <v>222</v>
      </c>
      <c r="E41" s="5" t="s">
        <v>261</v>
      </c>
      <c r="F41" s="5" t="s">
        <v>220</v>
      </c>
      <c r="G41" s="5">
        <v>45997</v>
      </c>
      <c r="H41" s="5" t="s">
        <v>75</v>
      </c>
      <c r="I41" s="5" t="s">
        <v>9</v>
      </c>
      <c r="J41" s="5" t="s">
        <v>706</v>
      </c>
      <c r="K41" s="5" t="s">
        <v>76</v>
      </c>
      <c r="L41" s="5" t="s">
        <v>12</v>
      </c>
      <c r="M41" s="5">
        <v>3200</v>
      </c>
      <c r="N41" s="5" t="s">
        <v>104</v>
      </c>
      <c r="O41" s="5" t="s">
        <v>209</v>
      </c>
    </row>
    <row r="42" spans="1:15" x14ac:dyDescent="0.25">
      <c r="A42" s="5">
        <v>40</v>
      </c>
      <c r="B42" s="5" t="str">
        <f t="shared" si="0"/>
        <v>101000</v>
      </c>
      <c r="C42" s="5" t="s">
        <v>70</v>
      </c>
      <c r="D42" s="5" t="s">
        <v>224</v>
      </c>
      <c r="E42" s="5" t="s">
        <v>262</v>
      </c>
      <c r="F42" s="5" t="s">
        <v>219</v>
      </c>
      <c r="G42" s="5" t="s">
        <v>44</v>
      </c>
      <c r="H42" s="5" t="s">
        <v>78</v>
      </c>
      <c r="I42" s="5" t="s">
        <v>14</v>
      </c>
      <c r="J42" s="5" t="s">
        <v>707</v>
      </c>
      <c r="K42" s="5" t="s">
        <v>14</v>
      </c>
      <c r="L42" s="5" t="s">
        <v>46</v>
      </c>
      <c r="M42" s="5">
        <v>6800</v>
      </c>
      <c r="N42" s="5" t="s">
        <v>104</v>
      </c>
      <c r="O42" s="5" t="s">
        <v>210</v>
      </c>
    </row>
    <row r="43" spans="1:15" x14ac:dyDescent="0.25">
      <c r="A43" s="5">
        <v>41</v>
      </c>
      <c r="B43" s="5" t="str">
        <f t="shared" si="0"/>
        <v>101001</v>
      </c>
      <c r="C43" s="5" t="s">
        <v>70</v>
      </c>
      <c r="D43" s="5" t="s">
        <v>222</v>
      </c>
      <c r="E43" s="5" t="s">
        <v>263</v>
      </c>
      <c r="F43" s="5" t="s">
        <v>218</v>
      </c>
      <c r="G43" s="5">
        <v>42583</v>
      </c>
      <c r="H43" s="5" t="s">
        <v>23</v>
      </c>
      <c r="I43" s="5" t="s">
        <v>9</v>
      </c>
      <c r="J43" s="5" t="s">
        <v>706</v>
      </c>
      <c r="K43" s="5" t="s">
        <v>14</v>
      </c>
      <c r="L43" s="5" t="s">
        <v>12</v>
      </c>
      <c r="M43" s="5">
        <v>2700</v>
      </c>
      <c r="N43" s="5" t="s">
        <v>100</v>
      </c>
      <c r="O43" s="5" t="s">
        <v>211</v>
      </c>
    </row>
    <row r="44" spans="1:15" x14ac:dyDescent="0.25">
      <c r="A44" s="5">
        <v>42</v>
      </c>
      <c r="B44" s="5" t="str">
        <f t="shared" si="0"/>
        <v>101010</v>
      </c>
      <c r="C44" s="5" t="s">
        <v>70</v>
      </c>
      <c r="D44" s="5" t="s">
        <v>222</v>
      </c>
      <c r="E44" s="5" t="s">
        <v>264</v>
      </c>
      <c r="F44" s="5" t="s">
        <v>218</v>
      </c>
      <c r="G44" s="5">
        <v>45997</v>
      </c>
      <c r="H44" s="5" t="s">
        <v>79</v>
      </c>
      <c r="I44" s="5" t="s">
        <v>9</v>
      </c>
      <c r="J44" s="5" t="s">
        <v>706</v>
      </c>
      <c r="K44" s="5" t="s">
        <v>11</v>
      </c>
      <c r="L44" s="5" t="s">
        <v>12</v>
      </c>
      <c r="M44" s="5">
        <v>2400</v>
      </c>
      <c r="N44" s="5" t="s">
        <v>104</v>
      </c>
      <c r="O44" s="5" t="s">
        <v>212</v>
      </c>
    </row>
    <row r="45" spans="1:15" x14ac:dyDescent="0.25">
      <c r="A45" s="5">
        <v>43</v>
      </c>
      <c r="B45" s="5" t="str">
        <f t="shared" si="0"/>
        <v>101011</v>
      </c>
      <c r="C45" s="5" t="s">
        <v>70</v>
      </c>
      <c r="D45" s="5" t="s">
        <v>224</v>
      </c>
      <c r="E45" s="5" t="s">
        <v>265</v>
      </c>
      <c r="F45" s="5" t="s">
        <v>219</v>
      </c>
      <c r="G45" s="5" t="s">
        <v>26</v>
      </c>
      <c r="H45" s="5" t="s">
        <v>30</v>
      </c>
      <c r="I45" s="5" t="s">
        <v>9</v>
      </c>
      <c r="J45" s="5" t="s">
        <v>14</v>
      </c>
      <c r="K45" s="5" t="s">
        <v>14</v>
      </c>
      <c r="L45" s="5" t="s">
        <v>29</v>
      </c>
      <c r="M45" s="5">
        <v>5400</v>
      </c>
      <c r="N45" s="5" t="s">
        <v>104</v>
      </c>
      <c r="O45" s="5" t="s">
        <v>213</v>
      </c>
    </row>
    <row r="46" spans="1:15" x14ac:dyDescent="0.25">
      <c r="A46" s="5">
        <v>44</v>
      </c>
      <c r="B46" s="5" t="str">
        <f t="shared" si="0"/>
        <v>101100</v>
      </c>
      <c r="C46" s="5" t="s">
        <v>70</v>
      </c>
      <c r="D46" s="5" t="s">
        <v>222</v>
      </c>
      <c r="E46" s="5" t="s">
        <v>266</v>
      </c>
      <c r="F46" s="5" t="s">
        <v>218</v>
      </c>
      <c r="G46" s="5">
        <v>42583</v>
      </c>
      <c r="H46" s="5" t="s">
        <v>80</v>
      </c>
      <c r="I46" s="5" t="s">
        <v>14</v>
      </c>
      <c r="J46" s="5" t="s">
        <v>14</v>
      </c>
      <c r="K46" s="5" t="s">
        <v>14</v>
      </c>
      <c r="L46" s="5" t="s">
        <v>38</v>
      </c>
      <c r="M46" s="5">
        <v>4500</v>
      </c>
      <c r="N46" s="5" t="s">
        <v>100</v>
      </c>
      <c r="O46" s="5" t="s">
        <v>214</v>
      </c>
    </row>
    <row r="47" spans="1:15" x14ac:dyDescent="0.25">
      <c r="A47" s="5">
        <v>45</v>
      </c>
      <c r="B47" s="5" t="str">
        <f t="shared" si="0"/>
        <v>101101</v>
      </c>
      <c r="C47" s="5" t="s">
        <v>70</v>
      </c>
      <c r="D47" s="5" t="s">
        <v>224</v>
      </c>
      <c r="E47" s="5" t="s">
        <v>267</v>
      </c>
      <c r="F47" s="5" t="s">
        <v>219</v>
      </c>
      <c r="G47" s="5">
        <v>45873</v>
      </c>
      <c r="H47" s="5" t="s">
        <v>81</v>
      </c>
      <c r="I47" s="5" t="s">
        <v>14</v>
      </c>
      <c r="J47" s="5" t="s">
        <v>708</v>
      </c>
      <c r="K47" s="5" t="s">
        <v>33</v>
      </c>
      <c r="L47" s="5" t="s">
        <v>22</v>
      </c>
      <c r="M47" s="5">
        <v>2400</v>
      </c>
      <c r="N47" s="5" t="s">
        <v>100</v>
      </c>
      <c r="O47" s="5" t="s">
        <v>215</v>
      </c>
    </row>
    <row r="48" spans="1:15" x14ac:dyDescent="0.25">
      <c r="A48" s="5">
        <v>46</v>
      </c>
      <c r="B48" s="5" t="str">
        <f t="shared" si="0"/>
        <v>101110</v>
      </c>
      <c r="C48" s="5" t="s">
        <v>70</v>
      </c>
      <c r="D48" s="5" t="s">
        <v>224</v>
      </c>
      <c r="E48" s="5" t="s">
        <v>268</v>
      </c>
      <c r="F48" s="5" t="s">
        <v>219</v>
      </c>
      <c r="G48" s="5" t="s">
        <v>56</v>
      </c>
      <c r="H48" s="5" t="s">
        <v>77</v>
      </c>
      <c r="I48" s="5" t="s">
        <v>14</v>
      </c>
      <c r="J48" s="5" t="s">
        <v>711</v>
      </c>
      <c r="K48" s="5" t="s">
        <v>14</v>
      </c>
      <c r="L48" s="5" t="s">
        <v>58</v>
      </c>
      <c r="M48" s="5">
        <v>10000</v>
      </c>
      <c r="N48" s="5" t="s">
        <v>104</v>
      </c>
      <c r="O48" s="5" t="s">
        <v>216</v>
      </c>
    </row>
    <row r="55" spans="1:1" x14ac:dyDescent="0.25">
      <c r="A55" s="25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C73B9-F7EC-4500-B401-D6153C4B9E09}">
  <dimension ref="A1:Q43"/>
  <sheetViews>
    <sheetView zoomScale="85" zoomScaleNormal="85" workbookViewId="0">
      <selection activeCell="Q2" sqref="Q2"/>
    </sheetView>
  </sheetViews>
  <sheetFormatPr baseColWidth="10" defaultRowHeight="15" x14ac:dyDescent="0.25"/>
  <cols>
    <col min="1" max="1" width="12.85546875" bestFit="1" customWidth="1"/>
    <col min="2" max="2" width="13.85546875" bestFit="1" customWidth="1"/>
    <col min="3" max="3" width="20.7109375" bestFit="1" customWidth="1"/>
    <col min="4" max="4" width="27.140625" bestFit="1" customWidth="1"/>
    <col min="5" max="5" width="31.140625" bestFit="1" customWidth="1"/>
    <col min="6" max="6" width="28.5703125" bestFit="1" customWidth="1"/>
    <col min="7" max="7" width="15.7109375" customWidth="1"/>
    <col min="8" max="8" width="15.5703125" customWidth="1"/>
    <col min="9" max="9" width="17.42578125" bestFit="1" customWidth="1"/>
    <col min="10" max="10" width="26" bestFit="1" customWidth="1"/>
    <col min="11" max="11" width="27.28515625" bestFit="1" customWidth="1"/>
    <col min="12" max="12" width="18.85546875" bestFit="1" customWidth="1"/>
    <col min="13" max="13" width="17.7109375" bestFit="1" customWidth="1"/>
    <col min="14" max="14" width="27.42578125" bestFit="1" customWidth="1"/>
    <col min="15" max="15" width="24.5703125" bestFit="1" customWidth="1"/>
    <col min="16" max="16" width="78.7109375" bestFit="1" customWidth="1"/>
  </cols>
  <sheetData>
    <row r="1" spans="1:17" x14ac:dyDescent="0.25">
      <c r="A1" s="13" t="s">
        <v>0</v>
      </c>
      <c r="B1" s="13" t="s">
        <v>1</v>
      </c>
      <c r="C1" s="13" t="s">
        <v>2</v>
      </c>
      <c r="D1" s="13" t="s">
        <v>487</v>
      </c>
      <c r="E1" s="13" t="s">
        <v>488</v>
      </c>
      <c r="F1" s="13" t="s">
        <v>483</v>
      </c>
      <c r="G1" s="13" t="s">
        <v>377</v>
      </c>
      <c r="H1" s="13" t="s">
        <v>378</v>
      </c>
      <c r="I1" s="13" t="s">
        <v>379</v>
      </c>
      <c r="J1" s="13" t="s">
        <v>380</v>
      </c>
      <c r="K1" s="13" t="s">
        <v>381</v>
      </c>
      <c r="L1" s="13" t="s">
        <v>382</v>
      </c>
      <c r="M1" s="13" t="s">
        <v>383</v>
      </c>
      <c r="N1" s="13" t="s">
        <v>91</v>
      </c>
      <c r="O1" s="13" t="s">
        <v>90</v>
      </c>
      <c r="P1" s="13" t="s">
        <v>92</v>
      </c>
      <c r="Q1" s="4"/>
    </row>
    <row r="2" spans="1:17" x14ac:dyDescent="0.25">
      <c r="A2" s="16">
        <v>0</v>
      </c>
      <c r="B2" s="16" t="str">
        <f>TEXT(DEC2BIN(A2,6),"000000")</f>
        <v>000000</v>
      </c>
      <c r="C2" s="14" t="s">
        <v>94</v>
      </c>
      <c r="D2" s="14" t="s">
        <v>484</v>
      </c>
      <c r="E2" s="14" t="s">
        <v>384</v>
      </c>
      <c r="F2" s="14" t="s">
        <v>6</v>
      </c>
      <c r="G2" s="14" t="s">
        <v>384</v>
      </c>
      <c r="H2" s="14" t="s">
        <v>384</v>
      </c>
      <c r="I2" s="14" t="s">
        <v>384</v>
      </c>
      <c r="J2" s="14" t="s">
        <v>384</v>
      </c>
      <c r="K2" s="14" t="s">
        <v>384</v>
      </c>
      <c r="L2" s="14" t="s">
        <v>384</v>
      </c>
      <c r="M2" s="14">
        <v>0</v>
      </c>
      <c r="N2" s="14" t="s">
        <v>384</v>
      </c>
      <c r="O2" s="15">
        <v>0</v>
      </c>
      <c r="P2" s="14" t="s">
        <v>489</v>
      </c>
      <c r="Q2" s="21" t="s">
        <v>384</v>
      </c>
    </row>
    <row r="3" spans="1:17" x14ac:dyDescent="0.25">
      <c r="A3" s="16">
        <v>1</v>
      </c>
      <c r="B3" s="16" t="str">
        <f t="shared" ref="B3:B43" si="0">TEXT(DEC2BIN(A3,6),"000000")</f>
        <v>000001</v>
      </c>
      <c r="C3" s="16" t="s">
        <v>288</v>
      </c>
      <c r="D3" s="16" t="s">
        <v>275</v>
      </c>
      <c r="E3" s="16" t="s">
        <v>490</v>
      </c>
      <c r="F3" s="16" t="s">
        <v>491</v>
      </c>
      <c r="G3" s="16" t="s">
        <v>386</v>
      </c>
      <c r="H3" s="16" t="s">
        <v>387</v>
      </c>
      <c r="I3" s="16" t="s">
        <v>388</v>
      </c>
      <c r="J3" s="16" t="s">
        <v>389</v>
      </c>
      <c r="K3" s="16" t="s">
        <v>390</v>
      </c>
      <c r="L3" s="16" t="s">
        <v>391</v>
      </c>
      <c r="M3" s="16">
        <v>1</v>
      </c>
      <c r="N3" s="16" t="s">
        <v>100</v>
      </c>
      <c r="O3" s="17">
        <v>1900</v>
      </c>
      <c r="P3" s="16" t="s">
        <v>492</v>
      </c>
      <c r="Q3" s="39" t="s">
        <v>387</v>
      </c>
    </row>
    <row r="4" spans="1:17" x14ac:dyDescent="0.25">
      <c r="A4" s="16">
        <v>2</v>
      </c>
      <c r="B4" s="16" t="str">
        <f t="shared" si="0"/>
        <v>000010</v>
      </c>
      <c r="C4" s="16" t="s">
        <v>288</v>
      </c>
      <c r="D4" s="16" t="s">
        <v>280</v>
      </c>
      <c r="E4" s="16" t="s">
        <v>493</v>
      </c>
      <c r="F4" s="16" t="s">
        <v>491</v>
      </c>
      <c r="G4" s="16" t="s">
        <v>386</v>
      </c>
      <c r="H4" s="16" t="s">
        <v>387</v>
      </c>
      <c r="I4" s="16" t="s">
        <v>388</v>
      </c>
      <c r="J4" s="16" t="s">
        <v>389</v>
      </c>
      <c r="K4" s="16" t="s">
        <v>390</v>
      </c>
      <c r="L4" s="16" t="s">
        <v>494</v>
      </c>
      <c r="M4" s="16">
        <v>1</v>
      </c>
      <c r="N4" s="16" t="s">
        <v>100</v>
      </c>
      <c r="O4" s="17">
        <v>2100</v>
      </c>
      <c r="P4" s="16" t="s">
        <v>495</v>
      </c>
      <c r="Q4" s="39"/>
    </row>
    <row r="5" spans="1:17" x14ac:dyDescent="0.25">
      <c r="A5" s="16">
        <v>3</v>
      </c>
      <c r="B5" s="16" t="str">
        <f t="shared" si="0"/>
        <v>000011</v>
      </c>
      <c r="C5" s="16" t="s">
        <v>405</v>
      </c>
      <c r="D5" s="16" t="s">
        <v>496</v>
      </c>
      <c r="E5" s="16" t="s">
        <v>497</v>
      </c>
      <c r="F5" s="16" t="s">
        <v>498</v>
      </c>
      <c r="G5" s="16" t="s">
        <v>406</v>
      </c>
      <c r="H5" s="16" t="s">
        <v>387</v>
      </c>
      <c r="I5" s="16" t="s">
        <v>403</v>
      </c>
      <c r="J5" s="16" t="s">
        <v>407</v>
      </c>
      <c r="K5" s="16" t="s">
        <v>400</v>
      </c>
      <c r="L5" s="16" t="s">
        <v>408</v>
      </c>
      <c r="M5" s="16">
        <v>2</v>
      </c>
      <c r="N5" s="16" t="s">
        <v>100</v>
      </c>
      <c r="O5" s="17">
        <v>2500</v>
      </c>
      <c r="P5" s="16" t="s">
        <v>499</v>
      </c>
      <c r="Q5" s="39"/>
    </row>
    <row r="6" spans="1:17" x14ac:dyDescent="0.25">
      <c r="A6" s="16">
        <v>4</v>
      </c>
      <c r="B6" s="16" t="str">
        <f t="shared" si="0"/>
        <v>000100</v>
      </c>
      <c r="C6" s="18" t="s">
        <v>405</v>
      </c>
      <c r="D6" s="18" t="s">
        <v>496</v>
      </c>
      <c r="E6" s="18" t="s">
        <v>500</v>
      </c>
      <c r="F6" s="18" t="s">
        <v>501</v>
      </c>
      <c r="G6" s="18" t="s">
        <v>414</v>
      </c>
      <c r="H6" s="18" t="s">
        <v>473</v>
      </c>
      <c r="I6" s="18" t="s">
        <v>403</v>
      </c>
      <c r="J6" s="18" t="s">
        <v>428</v>
      </c>
      <c r="K6" s="18" t="s">
        <v>278</v>
      </c>
      <c r="L6" s="18" t="s">
        <v>420</v>
      </c>
      <c r="M6" s="18">
        <v>2</v>
      </c>
      <c r="N6" s="18" t="s">
        <v>100</v>
      </c>
      <c r="O6" s="19">
        <v>3800</v>
      </c>
      <c r="P6" s="18" t="s">
        <v>502</v>
      </c>
      <c r="Q6" s="20" t="s">
        <v>473</v>
      </c>
    </row>
    <row r="7" spans="1:17" x14ac:dyDescent="0.25">
      <c r="A7" s="16">
        <v>5</v>
      </c>
      <c r="B7" s="16" t="str">
        <f t="shared" si="0"/>
        <v>000101</v>
      </c>
      <c r="C7" s="16" t="s">
        <v>288</v>
      </c>
      <c r="D7" s="16" t="s">
        <v>222</v>
      </c>
      <c r="E7" s="16" t="s">
        <v>485</v>
      </c>
      <c r="F7" s="16" t="s">
        <v>392</v>
      </c>
      <c r="G7" s="16" t="s">
        <v>393</v>
      </c>
      <c r="H7" s="16" t="s">
        <v>394</v>
      </c>
      <c r="I7" s="16" t="s">
        <v>395</v>
      </c>
      <c r="J7" s="16" t="s">
        <v>396</v>
      </c>
      <c r="K7" s="16" t="s">
        <v>390</v>
      </c>
      <c r="L7" s="16" t="s">
        <v>397</v>
      </c>
      <c r="M7" s="16">
        <v>1</v>
      </c>
      <c r="N7" s="16" t="s">
        <v>100</v>
      </c>
      <c r="O7" s="17">
        <v>2400</v>
      </c>
      <c r="P7" s="16" t="s">
        <v>503</v>
      </c>
      <c r="Q7" s="40" t="s">
        <v>394</v>
      </c>
    </row>
    <row r="8" spans="1:17" x14ac:dyDescent="0.25">
      <c r="A8" s="16">
        <v>6</v>
      </c>
      <c r="B8" s="16" t="str">
        <f t="shared" si="0"/>
        <v>000110</v>
      </c>
      <c r="C8" s="16" t="s">
        <v>288</v>
      </c>
      <c r="D8" s="16" t="s">
        <v>222</v>
      </c>
      <c r="E8" s="16" t="s">
        <v>504</v>
      </c>
      <c r="F8" s="16" t="s">
        <v>398</v>
      </c>
      <c r="G8" s="16" t="s">
        <v>393</v>
      </c>
      <c r="H8" s="16" t="s">
        <v>394</v>
      </c>
      <c r="I8" s="16" t="s">
        <v>395</v>
      </c>
      <c r="J8" s="16" t="s">
        <v>399</v>
      </c>
      <c r="K8" s="16" t="s">
        <v>400</v>
      </c>
      <c r="L8" s="16" t="s">
        <v>401</v>
      </c>
      <c r="M8" s="16">
        <v>2</v>
      </c>
      <c r="N8" s="16" t="s">
        <v>100</v>
      </c>
      <c r="O8" s="17">
        <v>2600</v>
      </c>
      <c r="P8" s="16" t="s">
        <v>574</v>
      </c>
      <c r="Q8" s="40"/>
    </row>
    <row r="9" spans="1:17" x14ac:dyDescent="0.25">
      <c r="A9" s="16">
        <v>7</v>
      </c>
      <c r="B9" s="16" t="str">
        <f t="shared" si="0"/>
        <v>000111</v>
      </c>
      <c r="C9" s="16" t="s">
        <v>288</v>
      </c>
      <c r="D9" s="16" t="s">
        <v>385</v>
      </c>
      <c r="E9" s="16" t="s">
        <v>505</v>
      </c>
      <c r="F9" s="16" t="s">
        <v>402</v>
      </c>
      <c r="G9" s="16" t="s">
        <v>393</v>
      </c>
      <c r="H9" s="16" t="s">
        <v>394</v>
      </c>
      <c r="I9" s="16" t="s">
        <v>403</v>
      </c>
      <c r="J9" s="16" t="s">
        <v>404</v>
      </c>
      <c r="K9" s="16" t="s">
        <v>390</v>
      </c>
      <c r="L9" s="16" t="s">
        <v>397</v>
      </c>
      <c r="M9" s="16">
        <v>2</v>
      </c>
      <c r="N9" s="16" t="s">
        <v>100</v>
      </c>
      <c r="O9" s="17">
        <v>2800</v>
      </c>
      <c r="P9" s="16" t="s">
        <v>506</v>
      </c>
      <c r="Q9" s="40"/>
    </row>
    <row r="10" spans="1:17" x14ac:dyDescent="0.25">
      <c r="A10" s="16">
        <v>8</v>
      </c>
      <c r="B10" s="16" t="str">
        <f t="shared" si="0"/>
        <v>001000</v>
      </c>
      <c r="C10" s="16" t="s">
        <v>409</v>
      </c>
      <c r="D10" s="16" t="s">
        <v>507</v>
      </c>
      <c r="E10" s="16" t="s">
        <v>508</v>
      </c>
      <c r="F10" s="16" t="s">
        <v>410</v>
      </c>
      <c r="G10" s="16" t="s">
        <v>406</v>
      </c>
      <c r="H10" s="16" t="s">
        <v>394</v>
      </c>
      <c r="I10" s="16" t="s">
        <v>403</v>
      </c>
      <c r="J10" s="16" t="s">
        <v>411</v>
      </c>
      <c r="K10" s="16" t="s">
        <v>278</v>
      </c>
      <c r="L10" s="16" t="s">
        <v>412</v>
      </c>
      <c r="M10" s="16">
        <v>2</v>
      </c>
      <c r="N10" s="16" t="s">
        <v>100</v>
      </c>
      <c r="O10" s="17">
        <v>3500</v>
      </c>
      <c r="P10" s="16" t="s">
        <v>509</v>
      </c>
      <c r="Q10" s="40"/>
    </row>
    <row r="11" spans="1:17" x14ac:dyDescent="0.25">
      <c r="A11" s="16">
        <v>9</v>
      </c>
      <c r="B11" s="16" t="str">
        <f t="shared" si="0"/>
        <v>001001</v>
      </c>
      <c r="C11" s="16" t="s">
        <v>288</v>
      </c>
      <c r="D11" s="16" t="s">
        <v>224</v>
      </c>
      <c r="E11" s="16" t="s">
        <v>486</v>
      </c>
      <c r="F11" s="16" t="s">
        <v>413</v>
      </c>
      <c r="G11" s="16" t="s">
        <v>414</v>
      </c>
      <c r="H11" s="16" t="s">
        <v>394</v>
      </c>
      <c r="I11" s="16" t="s">
        <v>415</v>
      </c>
      <c r="J11" s="16" t="s">
        <v>416</v>
      </c>
      <c r="K11" s="16" t="s">
        <v>285</v>
      </c>
      <c r="L11" s="16" t="s">
        <v>417</v>
      </c>
      <c r="M11" s="16">
        <v>2</v>
      </c>
      <c r="N11" s="16" t="s">
        <v>104</v>
      </c>
      <c r="O11" s="17">
        <v>3200</v>
      </c>
      <c r="P11" s="16" t="s">
        <v>510</v>
      </c>
      <c r="Q11" s="40"/>
    </row>
    <row r="12" spans="1:17" x14ac:dyDescent="0.25">
      <c r="A12" s="16">
        <v>10</v>
      </c>
      <c r="B12" s="16" t="str">
        <f t="shared" si="0"/>
        <v>001010</v>
      </c>
      <c r="C12" s="16" t="s">
        <v>116</v>
      </c>
      <c r="D12" s="16" t="s">
        <v>224</v>
      </c>
      <c r="E12" s="16" t="s">
        <v>511</v>
      </c>
      <c r="F12" s="16" t="s">
        <v>418</v>
      </c>
      <c r="G12" s="16" t="s">
        <v>414</v>
      </c>
      <c r="H12" s="16" t="s">
        <v>394</v>
      </c>
      <c r="I12" s="16" t="s">
        <v>415</v>
      </c>
      <c r="J12" s="16" t="s">
        <v>419</v>
      </c>
      <c r="K12" s="16" t="s">
        <v>512</v>
      </c>
      <c r="L12" s="16" t="s">
        <v>420</v>
      </c>
      <c r="M12" s="16">
        <v>2</v>
      </c>
      <c r="N12" s="16" t="s">
        <v>100</v>
      </c>
      <c r="O12" s="17">
        <v>3500</v>
      </c>
      <c r="P12" s="16" t="s">
        <v>513</v>
      </c>
      <c r="Q12" s="40"/>
    </row>
    <row r="13" spans="1:17" x14ac:dyDescent="0.25">
      <c r="A13" s="16">
        <v>11</v>
      </c>
      <c r="B13" s="16" t="str">
        <f t="shared" si="0"/>
        <v>001011</v>
      </c>
      <c r="C13" s="16" t="s">
        <v>116</v>
      </c>
      <c r="D13" s="16" t="s">
        <v>385</v>
      </c>
      <c r="E13" s="16" t="s">
        <v>514</v>
      </c>
      <c r="F13" s="16" t="s">
        <v>421</v>
      </c>
      <c r="G13" s="16" t="s">
        <v>414</v>
      </c>
      <c r="H13" s="16" t="s">
        <v>394</v>
      </c>
      <c r="I13" s="16" t="s">
        <v>422</v>
      </c>
      <c r="J13" s="16" t="s">
        <v>423</v>
      </c>
      <c r="K13" s="16" t="s">
        <v>278</v>
      </c>
      <c r="L13" s="16" t="s">
        <v>424</v>
      </c>
      <c r="M13" s="16">
        <v>2</v>
      </c>
      <c r="N13" s="16" t="s">
        <v>100</v>
      </c>
      <c r="O13" s="17">
        <v>4000</v>
      </c>
      <c r="P13" s="16" t="s">
        <v>515</v>
      </c>
      <c r="Q13" s="40"/>
    </row>
    <row r="14" spans="1:17" x14ac:dyDescent="0.25">
      <c r="A14" s="16">
        <v>12</v>
      </c>
      <c r="B14" s="16" t="str">
        <f t="shared" si="0"/>
        <v>001100</v>
      </c>
      <c r="C14" s="16" t="s">
        <v>94</v>
      </c>
      <c r="D14" s="16" t="s">
        <v>222</v>
      </c>
      <c r="E14" s="16" t="s">
        <v>516</v>
      </c>
      <c r="F14" s="16" t="s">
        <v>425</v>
      </c>
      <c r="G14" s="16" t="s">
        <v>414</v>
      </c>
      <c r="H14" s="16" t="s">
        <v>394</v>
      </c>
      <c r="I14" s="16" t="s">
        <v>422</v>
      </c>
      <c r="J14" s="16" t="s">
        <v>426</v>
      </c>
      <c r="K14" s="16" t="s">
        <v>278</v>
      </c>
      <c r="L14" s="16" t="s">
        <v>417</v>
      </c>
      <c r="M14" s="16">
        <v>2</v>
      </c>
      <c r="N14" s="16" t="s">
        <v>100</v>
      </c>
      <c r="O14" s="17">
        <v>3800</v>
      </c>
      <c r="P14" s="16" t="s">
        <v>517</v>
      </c>
      <c r="Q14" s="40"/>
    </row>
    <row r="15" spans="1:17" x14ac:dyDescent="0.25">
      <c r="A15" s="16">
        <v>13</v>
      </c>
      <c r="B15" s="16" t="str">
        <f t="shared" si="0"/>
        <v>001101</v>
      </c>
      <c r="C15" s="16" t="s">
        <v>109</v>
      </c>
      <c r="D15" s="16" t="s">
        <v>222</v>
      </c>
      <c r="E15" s="16" t="s">
        <v>518</v>
      </c>
      <c r="F15" s="16" t="s">
        <v>425</v>
      </c>
      <c r="G15" s="16" t="s">
        <v>414</v>
      </c>
      <c r="H15" s="16" t="s">
        <v>394</v>
      </c>
      <c r="I15" s="16" t="s">
        <v>422</v>
      </c>
      <c r="J15" s="16" t="s">
        <v>426</v>
      </c>
      <c r="K15" s="16" t="s">
        <v>278</v>
      </c>
      <c r="L15" s="16" t="s">
        <v>412</v>
      </c>
      <c r="M15" s="16">
        <v>2</v>
      </c>
      <c r="N15" s="16" t="s">
        <v>100</v>
      </c>
      <c r="O15" s="17">
        <v>3900</v>
      </c>
      <c r="P15" s="16" t="s">
        <v>519</v>
      </c>
      <c r="Q15" s="40"/>
    </row>
    <row r="16" spans="1:17" x14ac:dyDescent="0.25">
      <c r="A16" s="16">
        <v>14</v>
      </c>
      <c r="B16" s="16" t="str">
        <f t="shared" si="0"/>
        <v>001110</v>
      </c>
      <c r="C16" s="16" t="s">
        <v>109</v>
      </c>
      <c r="D16" s="16" t="s">
        <v>222</v>
      </c>
      <c r="E16" s="16" t="s">
        <v>520</v>
      </c>
      <c r="F16" s="16" t="s">
        <v>427</v>
      </c>
      <c r="G16" s="16" t="s">
        <v>414</v>
      </c>
      <c r="H16" s="16" t="s">
        <v>394</v>
      </c>
      <c r="I16" s="16" t="s">
        <v>422</v>
      </c>
      <c r="J16" s="16" t="s">
        <v>428</v>
      </c>
      <c r="K16" s="16" t="s">
        <v>278</v>
      </c>
      <c r="L16" s="16" t="s">
        <v>429</v>
      </c>
      <c r="M16" s="16">
        <v>2</v>
      </c>
      <c r="N16" s="16" t="s">
        <v>104</v>
      </c>
      <c r="O16" s="17">
        <v>4600</v>
      </c>
      <c r="P16" s="16" t="s">
        <v>521</v>
      </c>
      <c r="Q16" s="40"/>
    </row>
    <row r="17" spans="1:17" x14ac:dyDescent="0.25">
      <c r="A17" s="16">
        <v>15</v>
      </c>
      <c r="B17" s="16" t="str">
        <f t="shared" si="0"/>
        <v>001111</v>
      </c>
      <c r="C17" s="16" t="s">
        <v>94</v>
      </c>
      <c r="D17" s="16" t="s">
        <v>385</v>
      </c>
      <c r="E17" s="16" t="s">
        <v>522</v>
      </c>
      <c r="F17" s="16" t="s">
        <v>430</v>
      </c>
      <c r="G17" s="16" t="s">
        <v>431</v>
      </c>
      <c r="H17" s="16" t="s">
        <v>394</v>
      </c>
      <c r="I17" s="16" t="s">
        <v>415</v>
      </c>
      <c r="J17" s="16" t="s">
        <v>432</v>
      </c>
      <c r="K17" s="16" t="s">
        <v>278</v>
      </c>
      <c r="L17" s="16" t="s">
        <v>523</v>
      </c>
      <c r="M17" s="16">
        <v>2</v>
      </c>
      <c r="N17" s="16" t="s">
        <v>100</v>
      </c>
      <c r="O17" s="17">
        <v>5400</v>
      </c>
      <c r="P17" s="16" t="s">
        <v>524</v>
      </c>
      <c r="Q17" s="40"/>
    </row>
    <row r="18" spans="1:17" x14ac:dyDescent="0.25">
      <c r="A18" s="16">
        <v>16</v>
      </c>
      <c r="B18" s="16" t="str">
        <f t="shared" si="0"/>
        <v>010000</v>
      </c>
      <c r="C18" s="16" t="s">
        <v>109</v>
      </c>
      <c r="D18" s="16" t="s">
        <v>385</v>
      </c>
      <c r="E18" s="16" t="s">
        <v>525</v>
      </c>
      <c r="F18" s="16" t="s">
        <v>430</v>
      </c>
      <c r="G18" s="16" t="s">
        <v>431</v>
      </c>
      <c r="H18" s="16" t="s">
        <v>394</v>
      </c>
      <c r="I18" s="16" t="s">
        <v>415</v>
      </c>
      <c r="J18" s="16" t="s">
        <v>432</v>
      </c>
      <c r="K18" s="16" t="s">
        <v>278</v>
      </c>
      <c r="L18" s="16" t="s">
        <v>526</v>
      </c>
      <c r="M18" s="16">
        <v>2</v>
      </c>
      <c r="N18" s="16" t="s">
        <v>104</v>
      </c>
      <c r="O18" s="17">
        <v>5600</v>
      </c>
      <c r="P18" s="16" t="s">
        <v>527</v>
      </c>
      <c r="Q18" s="40"/>
    </row>
    <row r="19" spans="1:17" x14ac:dyDescent="0.25">
      <c r="A19" s="16">
        <v>17</v>
      </c>
      <c r="B19" s="16" t="str">
        <f t="shared" si="0"/>
        <v>010001</v>
      </c>
      <c r="C19" s="16" t="s">
        <v>109</v>
      </c>
      <c r="D19" s="16" t="s">
        <v>222</v>
      </c>
      <c r="E19" s="16" t="s">
        <v>528</v>
      </c>
      <c r="F19" s="16" t="s">
        <v>433</v>
      </c>
      <c r="G19" s="16" t="s">
        <v>414</v>
      </c>
      <c r="H19" s="16" t="s">
        <v>394</v>
      </c>
      <c r="I19" s="16" t="s">
        <v>422</v>
      </c>
      <c r="J19" s="16" t="s">
        <v>434</v>
      </c>
      <c r="K19" s="16" t="s">
        <v>278</v>
      </c>
      <c r="L19" s="16" t="s">
        <v>429</v>
      </c>
      <c r="M19" s="16">
        <v>2</v>
      </c>
      <c r="N19" s="16" t="s">
        <v>100</v>
      </c>
      <c r="O19" s="17">
        <v>5100</v>
      </c>
      <c r="P19" s="16" t="s">
        <v>529</v>
      </c>
      <c r="Q19" s="40"/>
    </row>
    <row r="20" spans="1:17" x14ac:dyDescent="0.25">
      <c r="A20" s="16">
        <v>18</v>
      </c>
      <c r="B20" s="16" t="str">
        <f t="shared" si="0"/>
        <v>010010</v>
      </c>
      <c r="C20" s="16" t="s">
        <v>94</v>
      </c>
      <c r="D20" s="16" t="s">
        <v>385</v>
      </c>
      <c r="E20" s="16" t="s">
        <v>530</v>
      </c>
      <c r="F20" s="16" t="s">
        <v>435</v>
      </c>
      <c r="G20" s="16" t="s">
        <v>414</v>
      </c>
      <c r="H20" s="16" t="s">
        <v>394</v>
      </c>
      <c r="I20" s="16" t="s">
        <v>422</v>
      </c>
      <c r="J20" s="16" t="s">
        <v>436</v>
      </c>
      <c r="K20" s="16" t="s">
        <v>278</v>
      </c>
      <c r="L20" s="16" t="s">
        <v>424</v>
      </c>
      <c r="M20" s="16">
        <v>2</v>
      </c>
      <c r="N20" s="16" t="s">
        <v>104</v>
      </c>
      <c r="O20" s="17">
        <v>5800</v>
      </c>
      <c r="P20" s="16" t="s">
        <v>531</v>
      </c>
      <c r="Q20" s="40"/>
    </row>
    <row r="21" spans="1:17" x14ac:dyDescent="0.25">
      <c r="A21" s="16">
        <v>19</v>
      </c>
      <c r="B21" s="16" t="str">
        <f t="shared" si="0"/>
        <v>010011</v>
      </c>
      <c r="C21" s="16" t="s">
        <v>109</v>
      </c>
      <c r="D21" s="16" t="s">
        <v>385</v>
      </c>
      <c r="E21" s="16" t="s">
        <v>532</v>
      </c>
      <c r="F21" s="16" t="s">
        <v>435</v>
      </c>
      <c r="G21" s="16" t="s">
        <v>414</v>
      </c>
      <c r="H21" s="16" t="s">
        <v>394</v>
      </c>
      <c r="I21" s="16" t="s">
        <v>422</v>
      </c>
      <c r="J21" s="16" t="s">
        <v>436</v>
      </c>
      <c r="K21" s="16" t="s">
        <v>278</v>
      </c>
      <c r="L21" s="16" t="s">
        <v>417</v>
      </c>
      <c r="M21" s="16">
        <v>2</v>
      </c>
      <c r="N21" s="16" t="s">
        <v>104</v>
      </c>
      <c r="O21" s="17">
        <v>6000</v>
      </c>
      <c r="P21" s="16" t="s">
        <v>533</v>
      </c>
      <c r="Q21" s="40"/>
    </row>
    <row r="22" spans="1:17" x14ac:dyDescent="0.25">
      <c r="A22" s="16">
        <v>20</v>
      </c>
      <c r="B22" s="16" t="str">
        <f t="shared" si="0"/>
        <v>010100</v>
      </c>
      <c r="C22" s="16" t="s">
        <v>109</v>
      </c>
      <c r="D22" s="16" t="s">
        <v>222</v>
      </c>
      <c r="E22" s="16" t="s">
        <v>534</v>
      </c>
      <c r="F22" s="16" t="s">
        <v>443</v>
      </c>
      <c r="G22" s="16" t="s">
        <v>431</v>
      </c>
      <c r="H22" s="16" t="s">
        <v>394</v>
      </c>
      <c r="I22" s="16" t="s">
        <v>415</v>
      </c>
      <c r="J22" s="16" t="s">
        <v>444</v>
      </c>
      <c r="K22" s="16" t="s">
        <v>512</v>
      </c>
      <c r="L22" s="16" t="s">
        <v>420</v>
      </c>
      <c r="M22" s="16">
        <v>2.5</v>
      </c>
      <c r="N22" s="16" t="s">
        <v>100</v>
      </c>
      <c r="O22" s="17">
        <v>6800</v>
      </c>
      <c r="P22" s="16" t="s">
        <v>535</v>
      </c>
      <c r="Q22" s="40"/>
    </row>
    <row r="23" spans="1:17" x14ac:dyDescent="0.25">
      <c r="A23" s="16">
        <v>21</v>
      </c>
      <c r="B23" s="16" t="str">
        <f t="shared" si="0"/>
        <v>010101</v>
      </c>
      <c r="C23" s="16" t="s">
        <v>116</v>
      </c>
      <c r="D23" s="16" t="s">
        <v>222</v>
      </c>
      <c r="E23" s="16" t="s">
        <v>518</v>
      </c>
      <c r="F23" s="16" t="s">
        <v>445</v>
      </c>
      <c r="G23" s="16" t="s">
        <v>431</v>
      </c>
      <c r="H23" s="16" t="s">
        <v>394</v>
      </c>
      <c r="I23" s="16" t="s">
        <v>415</v>
      </c>
      <c r="J23" s="16" t="s">
        <v>446</v>
      </c>
      <c r="K23" s="16" t="s">
        <v>285</v>
      </c>
      <c r="L23" s="16" t="s">
        <v>420</v>
      </c>
      <c r="M23" s="16">
        <v>2.5</v>
      </c>
      <c r="N23" s="16" t="s">
        <v>104</v>
      </c>
      <c r="O23" s="17">
        <v>8200</v>
      </c>
      <c r="P23" s="16" t="s">
        <v>536</v>
      </c>
      <c r="Q23" s="40"/>
    </row>
    <row r="24" spans="1:17" x14ac:dyDescent="0.25">
      <c r="A24" s="16">
        <v>22</v>
      </c>
      <c r="B24" s="16" t="str">
        <f t="shared" si="0"/>
        <v>010110</v>
      </c>
      <c r="C24" s="16" t="s">
        <v>447</v>
      </c>
      <c r="D24" s="16" t="s">
        <v>224</v>
      </c>
      <c r="E24" s="16" t="s">
        <v>537</v>
      </c>
      <c r="F24" s="16" t="s">
        <v>448</v>
      </c>
      <c r="G24" s="16" t="s">
        <v>441</v>
      </c>
      <c r="H24" s="16" t="s">
        <v>394</v>
      </c>
      <c r="I24" s="16" t="s">
        <v>415</v>
      </c>
      <c r="J24" s="16" t="s">
        <v>419</v>
      </c>
      <c r="K24" s="16" t="s">
        <v>285</v>
      </c>
      <c r="L24" s="16" t="s">
        <v>449</v>
      </c>
      <c r="M24" s="16">
        <v>2</v>
      </c>
      <c r="N24" s="16" t="s">
        <v>104</v>
      </c>
      <c r="O24" s="17">
        <v>5500</v>
      </c>
      <c r="P24" s="16" t="s">
        <v>538</v>
      </c>
      <c r="Q24" s="40"/>
    </row>
    <row r="25" spans="1:17" x14ac:dyDescent="0.25">
      <c r="A25" s="16">
        <v>23</v>
      </c>
      <c r="B25" s="16" t="str">
        <f t="shared" si="0"/>
        <v>010111</v>
      </c>
      <c r="C25" s="16" t="s">
        <v>94</v>
      </c>
      <c r="D25" s="16" t="s">
        <v>222</v>
      </c>
      <c r="E25" s="16" t="s">
        <v>518</v>
      </c>
      <c r="F25" s="16" t="s">
        <v>452</v>
      </c>
      <c r="G25" s="16" t="s">
        <v>441</v>
      </c>
      <c r="H25" s="16" t="s">
        <v>394</v>
      </c>
      <c r="I25" s="16" t="s">
        <v>415</v>
      </c>
      <c r="J25" s="16" t="s">
        <v>453</v>
      </c>
      <c r="K25" s="16" t="s">
        <v>285</v>
      </c>
      <c r="L25" s="16" t="s">
        <v>449</v>
      </c>
      <c r="M25" s="16">
        <v>2.5</v>
      </c>
      <c r="N25" s="16" t="s">
        <v>104</v>
      </c>
      <c r="O25" s="17">
        <v>9500</v>
      </c>
      <c r="P25" s="16" t="s">
        <v>539</v>
      </c>
      <c r="Q25" s="40"/>
    </row>
    <row r="26" spans="1:17" x14ac:dyDescent="0.25">
      <c r="A26" s="16">
        <v>24</v>
      </c>
      <c r="B26" s="16" t="str">
        <f t="shared" si="0"/>
        <v>011000</v>
      </c>
      <c r="C26" s="16" t="s">
        <v>109</v>
      </c>
      <c r="D26" s="16" t="s">
        <v>222</v>
      </c>
      <c r="E26" s="16" t="s">
        <v>540</v>
      </c>
      <c r="F26" s="16" t="s">
        <v>452</v>
      </c>
      <c r="G26" s="16" t="s">
        <v>441</v>
      </c>
      <c r="H26" s="16" t="s">
        <v>394</v>
      </c>
      <c r="I26" s="16" t="s">
        <v>415</v>
      </c>
      <c r="J26" s="16" t="s">
        <v>453</v>
      </c>
      <c r="K26" s="16" t="s">
        <v>285</v>
      </c>
      <c r="L26" s="16" t="s">
        <v>449</v>
      </c>
      <c r="M26" s="16">
        <v>2.5</v>
      </c>
      <c r="N26" s="16" t="s">
        <v>104</v>
      </c>
      <c r="O26" s="17">
        <v>9800</v>
      </c>
      <c r="P26" s="16" t="s">
        <v>541</v>
      </c>
      <c r="Q26" s="40"/>
    </row>
    <row r="27" spans="1:17" x14ac:dyDescent="0.25">
      <c r="A27" s="16">
        <v>25</v>
      </c>
      <c r="B27" s="16" t="str">
        <f t="shared" si="0"/>
        <v>011001</v>
      </c>
      <c r="C27" s="16" t="s">
        <v>447</v>
      </c>
      <c r="D27" s="16" t="s">
        <v>222</v>
      </c>
      <c r="E27" s="16" t="s">
        <v>542</v>
      </c>
      <c r="F27" s="16" t="s">
        <v>454</v>
      </c>
      <c r="G27" s="16" t="s">
        <v>441</v>
      </c>
      <c r="H27" s="16" t="s">
        <v>394</v>
      </c>
      <c r="I27" s="16" t="s">
        <v>415</v>
      </c>
      <c r="J27" s="16" t="s">
        <v>455</v>
      </c>
      <c r="K27" s="16" t="s">
        <v>285</v>
      </c>
      <c r="L27" s="16" t="s">
        <v>449</v>
      </c>
      <c r="M27" s="16">
        <v>2.5</v>
      </c>
      <c r="N27" s="16" t="s">
        <v>104</v>
      </c>
      <c r="O27" s="17">
        <v>10500</v>
      </c>
      <c r="P27" s="16" t="s">
        <v>543</v>
      </c>
      <c r="Q27" s="40"/>
    </row>
    <row r="28" spans="1:17" x14ac:dyDescent="0.25">
      <c r="A28" s="16">
        <v>26</v>
      </c>
      <c r="B28" s="16" t="str">
        <f t="shared" si="0"/>
        <v>011010</v>
      </c>
      <c r="C28" s="16" t="s">
        <v>480</v>
      </c>
      <c r="D28" s="16" t="s">
        <v>222</v>
      </c>
      <c r="E28" s="16" t="s">
        <v>544</v>
      </c>
      <c r="F28" s="16" t="s">
        <v>481</v>
      </c>
      <c r="G28" s="16" t="s">
        <v>441</v>
      </c>
      <c r="H28" s="16" t="s">
        <v>394</v>
      </c>
      <c r="I28" s="16" t="s">
        <v>415</v>
      </c>
      <c r="J28" s="16" t="s">
        <v>482</v>
      </c>
      <c r="K28" s="16" t="s">
        <v>285</v>
      </c>
      <c r="L28" s="16" t="s">
        <v>420</v>
      </c>
      <c r="M28" s="16">
        <v>2.5</v>
      </c>
      <c r="N28" s="16" t="s">
        <v>100</v>
      </c>
      <c r="O28" s="17">
        <v>7900</v>
      </c>
      <c r="P28" s="16" t="s">
        <v>545</v>
      </c>
      <c r="Q28" s="40"/>
    </row>
    <row r="29" spans="1:17" x14ac:dyDescent="0.25">
      <c r="A29" s="16">
        <v>27</v>
      </c>
      <c r="B29" s="16" t="str">
        <f t="shared" si="0"/>
        <v>011011</v>
      </c>
      <c r="C29" s="16" t="s">
        <v>116</v>
      </c>
      <c r="D29" s="16" t="s">
        <v>222</v>
      </c>
      <c r="E29" s="16" t="s">
        <v>546</v>
      </c>
      <c r="F29" s="16" t="s">
        <v>459</v>
      </c>
      <c r="G29" s="16" t="s">
        <v>460</v>
      </c>
      <c r="H29" s="16" t="s">
        <v>394</v>
      </c>
      <c r="I29" s="16" t="s">
        <v>415</v>
      </c>
      <c r="J29" s="16" t="s">
        <v>461</v>
      </c>
      <c r="K29" s="16" t="s">
        <v>285</v>
      </c>
      <c r="L29" s="16" t="s">
        <v>462</v>
      </c>
      <c r="M29" s="16">
        <v>2.5</v>
      </c>
      <c r="N29" s="16" t="s">
        <v>104</v>
      </c>
      <c r="O29" s="17">
        <v>14000</v>
      </c>
      <c r="P29" s="16" t="s">
        <v>547</v>
      </c>
      <c r="Q29" s="40"/>
    </row>
    <row r="30" spans="1:17" x14ac:dyDescent="0.25">
      <c r="A30" s="16">
        <v>28</v>
      </c>
      <c r="B30" s="16" t="str">
        <f t="shared" si="0"/>
        <v>011100</v>
      </c>
      <c r="C30" s="16" t="s">
        <v>440</v>
      </c>
      <c r="D30" s="16" t="s">
        <v>222</v>
      </c>
      <c r="E30" s="16" t="s">
        <v>546</v>
      </c>
      <c r="F30" s="16" t="s">
        <v>466</v>
      </c>
      <c r="G30" s="16" t="s">
        <v>467</v>
      </c>
      <c r="H30" s="16" t="s">
        <v>394</v>
      </c>
      <c r="I30" s="16" t="s">
        <v>415</v>
      </c>
      <c r="J30" s="16" t="s">
        <v>468</v>
      </c>
      <c r="K30" s="16" t="s">
        <v>285</v>
      </c>
      <c r="L30" s="16" t="s">
        <v>469</v>
      </c>
      <c r="M30" s="16">
        <v>3</v>
      </c>
      <c r="N30" s="16" t="s">
        <v>104</v>
      </c>
      <c r="O30" s="17">
        <v>18000</v>
      </c>
      <c r="P30" s="16" t="s">
        <v>548</v>
      </c>
      <c r="Q30" s="40"/>
    </row>
    <row r="31" spans="1:17" x14ac:dyDescent="0.25">
      <c r="A31" s="16">
        <v>29</v>
      </c>
      <c r="B31" s="16" t="str">
        <f t="shared" si="0"/>
        <v>011101</v>
      </c>
      <c r="C31" s="16" t="s">
        <v>474</v>
      </c>
      <c r="D31" s="16" t="s">
        <v>385</v>
      </c>
      <c r="E31" s="16" t="s">
        <v>549</v>
      </c>
      <c r="F31" s="16" t="s">
        <v>475</v>
      </c>
      <c r="G31" s="16" t="s">
        <v>414</v>
      </c>
      <c r="H31" s="16" t="s">
        <v>394</v>
      </c>
      <c r="I31" s="16" t="s">
        <v>415</v>
      </c>
      <c r="J31" s="16" t="s">
        <v>476</v>
      </c>
      <c r="K31" s="16" t="s">
        <v>278</v>
      </c>
      <c r="L31" s="16" t="s">
        <v>408</v>
      </c>
      <c r="M31" s="16">
        <v>2</v>
      </c>
      <c r="N31" s="16" t="s">
        <v>100</v>
      </c>
      <c r="O31" s="17">
        <v>6500</v>
      </c>
      <c r="P31" s="16" t="s">
        <v>550</v>
      </c>
      <c r="Q31" s="40"/>
    </row>
    <row r="32" spans="1:17" x14ac:dyDescent="0.25">
      <c r="A32" s="16">
        <v>30</v>
      </c>
      <c r="B32" s="16" t="str">
        <f t="shared" si="0"/>
        <v>011110</v>
      </c>
      <c r="C32" s="16" t="s">
        <v>474</v>
      </c>
      <c r="D32" s="16" t="s">
        <v>385</v>
      </c>
      <c r="E32" s="16" t="s">
        <v>551</v>
      </c>
      <c r="F32" s="16" t="s">
        <v>477</v>
      </c>
      <c r="G32" s="16" t="s">
        <v>414</v>
      </c>
      <c r="H32" s="16" t="s">
        <v>394</v>
      </c>
      <c r="I32" s="16" t="s">
        <v>415</v>
      </c>
      <c r="J32" s="16" t="s">
        <v>451</v>
      </c>
      <c r="K32" s="16" t="s">
        <v>552</v>
      </c>
      <c r="L32" s="16" t="s">
        <v>420</v>
      </c>
      <c r="M32" s="16">
        <v>2.5</v>
      </c>
      <c r="N32" s="16" t="s">
        <v>100</v>
      </c>
      <c r="O32" s="17">
        <v>8000</v>
      </c>
      <c r="P32" s="16" t="s">
        <v>553</v>
      </c>
      <c r="Q32" s="40"/>
    </row>
    <row r="33" spans="1:17" x14ac:dyDescent="0.25">
      <c r="A33" s="16">
        <v>31</v>
      </c>
      <c r="B33" s="16" t="str">
        <f t="shared" si="0"/>
        <v>011111</v>
      </c>
      <c r="C33" s="18" t="s">
        <v>109</v>
      </c>
      <c r="D33" s="18" t="s">
        <v>385</v>
      </c>
      <c r="E33" s="18" t="s">
        <v>530</v>
      </c>
      <c r="F33" s="18" t="s">
        <v>437</v>
      </c>
      <c r="G33" s="18" t="s">
        <v>414</v>
      </c>
      <c r="H33" s="18" t="s">
        <v>438</v>
      </c>
      <c r="I33" s="18" t="s">
        <v>422</v>
      </c>
      <c r="J33" s="18" t="s">
        <v>439</v>
      </c>
      <c r="K33" s="18" t="s">
        <v>278</v>
      </c>
      <c r="L33" s="18" t="s">
        <v>408</v>
      </c>
      <c r="M33" s="18">
        <v>2</v>
      </c>
      <c r="N33" s="18" t="s">
        <v>104</v>
      </c>
      <c r="O33" s="19">
        <v>7500</v>
      </c>
      <c r="P33" s="18" t="s">
        <v>554</v>
      </c>
      <c r="Q33" s="41" t="s">
        <v>438</v>
      </c>
    </row>
    <row r="34" spans="1:17" x14ac:dyDescent="0.25">
      <c r="A34" s="16">
        <v>32</v>
      </c>
      <c r="B34" s="16" t="str">
        <f t="shared" si="0"/>
        <v>100000</v>
      </c>
      <c r="C34" s="18" t="s">
        <v>440</v>
      </c>
      <c r="D34" s="18" t="s">
        <v>385</v>
      </c>
      <c r="E34" s="18" t="s">
        <v>555</v>
      </c>
      <c r="F34" s="18" t="s">
        <v>437</v>
      </c>
      <c r="G34" s="18" t="s">
        <v>441</v>
      </c>
      <c r="H34" s="18" t="s">
        <v>438</v>
      </c>
      <c r="I34" s="18" t="s">
        <v>422</v>
      </c>
      <c r="J34" s="18" t="s">
        <v>434</v>
      </c>
      <c r="K34" s="18" t="s">
        <v>278</v>
      </c>
      <c r="L34" s="18" t="s">
        <v>442</v>
      </c>
      <c r="M34" s="18">
        <v>2.5</v>
      </c>
      <c r="N34" s="18" t="s">
        <v>104</v>
      </c>
      <c r="O34" s="19">
        <v>8900</v>
      </c>
      <c r="P34" s="18" t="s">
        <v>556</v>
      </c>
      <c r="Q34" s="41"/>
    </row>
    <row r="35" spans="1:17" x14ac:dyDescent="0.25">
      <c r="A35" s="16">
        <v>33</v>
      </c>
      <c r="B35" s="16" t="str">
        <f t="shared" si="0"/>
        <v>100001</v>
      </c>
      <c r="C35" s="18" t="s">
        <v>109</v>
      </c>
      <c r="D35" s="18" t="s">
        <v>385</v>
      </c>
      <c r="E35" s="18" t="s">
        <v>557</v>
      </c>
      <c r="F35" s="18" t="s">
        <v>450</v>
      </c>
      <c r="G35" s="18" t="s">
        <v>431</v>
      </c>
      <c r="H35" s="18" t="s">
        <v>438</v>
      </c>
      <c r="I35" s="18" t="s">
        <v>415</v>
      </c>
      <c r="J35" s="18" t="s">
        <v>451</v>
      </c>
      <c r="K35" s="18" t="s">
        <v>558</v>
      </c>
      <c r="L35" s="18" t="s">
        <v>449</v>
      </c>
      <c r="M35" s="18">
        <v>2.5</v>
      </c>
      <c r="N35" s="18" t="s">
        <v>104</v>
      </c>
      <c r="O35" s="19">
        <v>11500</v>
      </c>
      <c r="P35" s="18" t="s">
        <v>559</v>
      </c>
      <c r="Q35" s="41"/>
    </row>
    <row r="36" spans="1:17" x14ac:dyDescent="0.25">
      <c r="A36" s="16">
        <v>34</v>
      </c>
      <c r="B36" s="16" t="str">
        <f t="shared" si="0"/>
        <v>100010</v>
      </c>
      <c r="C36" s="18" t="s">
        <v>109</v>
      </c>
      <c r="D36" s="18" t="s">
        <v>385</v>
      </c>
      <c r="E36" s="18" t="s">
        <v>555</v>
      </c>
      <c r="F36" s="18" t="s">
        <v>450</v>
      </c>
      <c r="G36" s="18" t="s">
        <v>431</v>
      </c>
      <c r="H36" s="18" t="s">
        <v>438</v>
      </c>
      <c r="I36" s="18" t="s">
        <v>415</v>
      </c>
      <c r="J36" s="18" t="s">
        <v>451</v>
      </c>
      <c r="K36" s="18" t="s">
        <v>558</v>
      </c>
      <c r="L36" s="18" t="s">
        <v>442</v>
      </c>
      <c r="M36" s="18">
        <v>2</v>
      </c>
      <c r="N36" s="18" t="s">
        <v>104</v>
      </c>
      <c r="O36" s="19">
        <v>11800</v>
      </c>
      <c r="P36" s="18" t="s">
        <v>560</v>
      </c>
      <c r="Q36" s="41"/>
    </row>
    <row r="37" spans="1:17" x14ac:dyDescent="0.25">
      <c r="A37" s="16">
        <v>35</v>
      </c>
      <c r="B37" s="16" t="str">
        <f t="shared" si="0"/>
        <v>100011</v>
      </c>
      <c r="C37" s="18" t="s">
        <v>116</v>
      </c>
      <c r="D37" s="18" t="s">
        <v>385</v>
      </c>
      <c r="E37" s="18" t="s">
        <v>561</v>
      </c>
      <c r="F37" s="18" t="s">
        <v>456</v>
      </c>
      <c r="G37" s="18" t="s">
        <v>441</v>
      </c>
      <c r="H37" s="18" t="s">
        <v>438</v>
      </c>
      <c r="I37" s="18" t="s">
        <v>415</v>
      </c>
      <c r="J37" s="18" t="s">
        <v>457</v>
      </c>
      <c r="K37" s="18" t="s">
        <v>558</v>
      </c>
      <c r="L37" s="18" t="s">
        <v>458</v>
      </c>
      <c r="M37" s="18">
        <v>3</v>
      </c>
      <c r="N37" s="18" t="s">
        <v>104</v>
      </c>
      <c r="O37" s="19">
        <v>16000</v>
      </c>
      <c r="P37" s="18" t="s">
        <v>562</v>
      </c>
      <c r="Q37" s="41"/>
    </row>
    <row r="38" spans="1:17" x14ac:dyDescent="0.25">
      <c r="A38" s="16">
        <v>36</v>
      </c>
      <c r="B38" s="16" t="str">
        <f t="shared" si="0"/>
        <v>100100</v>
      </c>
      <c r="C38" s="18" t="s">
        <v>116</v>
      </c>
      <c r="D38" s="18" t="s">
        <v>385</v>
      </c>
      <c r="E38" s="18" t="s">
        <v>563</v>
      </c>
      <c r="F38" s="18" t="s">
        <v>456</v>
      </c>
      <c r="G38" s="18" t="s">
        <v>441</v>
      </c>
      <c r="H38" s="18" t="s">
        <v>438</v>
      </c>
      <c r="I38" s="18" t="s">
        <v>415</v>
      </c>
      <c r="J38" s="18" t="s">
        <v>457</v>
      </c>
      <c r="K38" s="18" t="s">
        <v>558</v>
      </c>
      <c r="L38" s="18" t="s">
        <v>462</v>
      </c>
      <c r="M38" s="18">
        <v>2.5</v>
      </c>
      <c r="N38" s="18" t="s">
        <v>104</v>
      </c>
      <c r="O38" s="19">
        <v>16500</v>
      </c>
      <c r="P38" s="18" t="s">
        <v>564</v>
      </c>
      <c r="Q38" s="41"/>
    </row>
    <row r="39" spans="1:17" x14ac:dyDescent="0.25">
      <c r="A39" s="16">
        <v>37</v>
      </c>
      <c r="B39" s="16" t="str">
        <f t="shared" si="0"/>
        <v>100101</v>
      </c>
      <c r="C39" s="18" t="s">
        <v>116</v>
      </c>
      <c r="D39" s="18" t="s">
        <v>385</v>
      </c>
      <c r="E39" s="18" t="s">
        <v>563</v>
      </c>
      <c r="F39" s="18" t="s">
        <v>463</v>
      </c>
      <c r="G39" s="18" t="s">
        <v>441</v>
      </c>
      <c r="H39" s="18" t="s">
        <v>438</v>
      </c>
      <c r="I39" s="18" t="s">
        <v>415</v>
      </c>
      <c r="J39" s="18" t="s">
        <v>464</v>
      </c>
      <c r="K39" s="18" t="s">
        <v>558</v>
      </c>
      <c r="L39" s="18" t="s">
        <v>465</v>
      </c>
      <c r="M39" s="18">
        <v>3</v>
      </c>
      <c r="N39" s="18" t="s">
        <v>104</v>
      </c>
      <c r="O39" s="19">
        <v>20000</v>
      </c>
      <c r="P39" s="18" t="s">
        <v>565</v>
      </c>
      <c r="Q39" s="41"/>
    </row>
    <row r="40" spans="1:17" x14ac:dyDescent="0.25">
      <c r="A40" s="16">
        <v>38</v>
      </c>
      <c r="B40" s="16" t="str">
        <f t="shared" si="0"/>
        <v>100110</v>
      </c>
      <c r="C40" s="18" t="s">
        <v>440</v>
      </c>
      <c r="D40" s="18" t="s">
        <v>385</v>
      </c>
      <c r="E40" s="18" t="s">
        <v>561</v>
      </c>
      <c r="F40" s="18" t="s">
        <v>470</v>
      </c>
      <c r="G40" s="18" t="s">
        <v>467</v>
      </c>
      <c r="H40" s="18" t="s">
        <v>438</v>
      </c>
      <c r="I40" s="18" t="s">
        <v>415</v>
      </c>
      <c r="J40" s="18" t="s">
        <v>471</v>
      </c>
      <c r="K40" s="18" t="s">
        <v>558</v>
      </c>
      <c r="L40" s="18" t="s">
        <v>472</v>
      </c>
      <c r="M40" s="18">
        <v>3.5</v>
      </c>
      <c r="N40" s="18" t="s">
        <v>104</v>
      </c>
      <c r="O40" s="19">
        <v>32000</v>
      </c>
      <c r="P40" s="18" t="s">
        <v>566</v>
      </c>
      <c r="Q40" s="41"/>
    </row>
    <row r="41" spans="1:17" x14ac:dyDescent="0.25">
      <c r="A41" s="16">
        <v>39</v>
      </c>
      <c r="B41" s="16" t="str">
        <f t="shared" si="0"/>
        <v>100111</v>
      </c>
      <c r="C41" s="18" t="s">
        <v>440</v>
      </c>
      <c r="D41" s="18" t="s">
        <v>385</v>
      </c>
      <c r="E41" s="18" t="s">
        <v>563</v>
      </c>
      <c r="F41" s="18" t="s">
        <v>470</v>
      </c>
      <c r="G41" s="18" t="s">
        <v>467</v>
      </c>
      <c r="H41" s="18" t="s">
        <v>438</v>
      </c>
      <c r="I41" s="18" t="s">
        <v>415</v>
      </c>
      <c r="J41" s="18" t="s">
        <v>471</v>
      </c>
      <c r="K41" s="18" t="s">
        <v>558</v>
      </c>
      <c r="L41" s="18" t="s">
        <v>472</v>
      </c>
      <c r="M41" s="18">
        <v>3.5</v>
      </c>
      <c r="N41" s="18" t="s">
        <v>104</v>
      </c>
      <c r="O41" s="19">
        <v>33000</v>
      </c>
      <c r="P41" s="18" t="s">
        <v>567</v>
      </c>
      <c r="Q41" s="41"/>
    </row>
    <row r="42" spans="1:17" x14ac:dyDescent="0.25">
      <c r="A42" s="16">
        <v>40</v>
      </c>
      <c r="B42" s="16" t="str">
        <f t="shared" si="0"/>
        <v>101000</v>
      </c>
      <c r="C42" s="18" t="s">
        <v>474</v>
      </c>
      <c r="D42" s="18" t="s">
        <v>385</v>
      </c>
      <c r="E42" s="18" t="s">
        <v>563</v>
      </c>
      <c r="F42" s="18" t="s">
        <v>478</v>
      </c>
      <c r="G42" s="18" t="s">
        <v>479</v>
      </c>
      <c r="H42" s="18" t="s">
        <v>438</v>
      </c>
      <c r="I42" s="18" t="s">
        <v>415</v>
      </c>
      <c r="J42" s="18" t="s">
        <v>464</v>
      </c>
      <c r="K42" s="18" t="s">
        <v>285</v>
      </c>
      <c r="L42" s="18" t="s">
        <v>462</v>
      </c>
      <c r="M42" s="18">
        <v>2.5</v>
      </c>
      <c r="N42" s="18" t="s">
        <v>100</v>
      </c>
      <c r="O42" s="19">
        <v>11000</v>
      </c>
      <c r="P42" s="18" t="s">
        <v>568</v>
      </c>
      <c r="Q42" s="41"/>
    </row>
    <row r="43" spans="1:17" x14ac:dyDescent="0.25">
      <c r="A43" s="16">
        <v>41</v>
      </c>
      <c r="B43" s="16" t="str">
        <f t="shared" si="0"/>
        <v>101001</v>
      </c>
      <c r="C43" s="18" t="s">
        <v>474</v>
      </c>
      <c r="D43" s="18" t="s">
        <v>385</v>
      </c>
      <c r="E43" s="18" t="s">
        <v>569</v>
      </c>
      <c r="F43" s="18" t="s">
        <v>478</v>
      </c>
      <c r="G43" s="18" t="s">
        <v>479</v>
      </c>
      <c r="H43" s="18" t="s">
        <v>438</v>
      </c>
      <c r="I43" s="18" t="s">
        <v>415</v>
      </c>
      <c r="J43" s="18" t="s">
        <v>464</v>
      </c>
      <c r="K43" s="18" t="s">
        <v>285</v>
      </c>
      <c r="L43" s="18" t="s">
        <v>462</v>
      </c>
      <c r="M43" s="18">
        <v>2.5</v>
      </c>
      <c r="N43" s="18" t="s">
        <v>100</v>
      </c>
      <c r="O43" s="19">
        <v>11500</v>
      </c>
      <c r="P43" s="18" t="s">
        <v>570</v>
      </c>
      <c r="Q43" s="41"/>
    </row>
  </sheetData>
  <mergeCells count="3">
    <mergeCell ref="Q3:Q5"/>
    <mergeCell ref="Q7:Q32"/>
    <mergeCell ref="Q33:Q43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4D9EC-4701-4437-AE03-49A87334B200}">
  <dimension ref="A1:N44"/>
  <sheetViews>
    <sheetView zoomScale="70" zoomScaleNormal="70" workbookViewId="0">
      <selection activeCell="I36" sqref="I36"/>
    </sheetView>
  </sheetViews>
  <sheetFormatPr baseColWidth="10" defaultRowHeight="15" x14ac:dyDescent="0.25"/>
  <cols>
    <col min="1" max="1" width="8.140625" customWidth="1"/>
    <col min="2" max="2" width="12.85546875" bestFit="1" customWidth="1"/>
    <col min="3" max="3" width="20.85546875" bestFit="1" customWidth="1"/>
    <col min="4" max="4" width="12.140625" bestFit="1" customWidth="1"/>
    <col min="5" max="5" width="23.5703125" bestFit="1" customWidth="1"/>
    <col min="6" max="6" width="10.5703125" bestFit="1" customWidth="1"/>
    <col min="7" max="7" width="25.5703125" bestFit="1" customWidth="1"/>
    <col min="8" max="8" width="18.85546875" bestFit="1" customWidth="1"/>
    <col min="9" max="9" width="22.140625" bestFit="1" customWidth="1"/>
    <col min="10" max="10" width="18.5703125" bestFit="1" customWidth="1"/>
    <col min="11" max="11" width="24.28515625" bestFit="1" customWidth="1"/>
    <col min="12" max="12" width="26.5703125" bestFit="1" customWidth="1"/>
    <col min="13" max="13" width="141.140625" bestFit="1" customWidth="1"/>
    <col min="14" max="14" width="67.28515625" bestFit="1" customWidth="1"/>
  </cols>
  <sheetData>
    <row r="1" spans="1:14" x14ac:dyDescent="0.25">
      <c r="A1" s="22" t="s">
        <v>0</v>
      </c>
      <c r="B1" s="22" t="s">
        <v>82</v>
      </c>
      <c r="C1" s="22" t="s">
        <v>2</v>
      </c>
      <c r="D1" s="22" t="s">
        <v>83</v>
      </c>
      <c r="E1" s="22" t="s">
        <v>84</v>
      </c>
      <c r="F1" s="22" t="s">
        <v>85</v>
      </c>
      <c r="G1" s="22" t="s">
        <v>86</v>
      </c>
      <c r="H1" s="22" t="s">
        <v>87</v>
      </c>
      <c r="I1" s="22" t="s">
        <v>88</v>
      </c>
      <c r="J1" s="22" t="s">
        <v>89</v>
      </c>
      <c r="K1" s="22" t="s">
        <v>90</v>
      </c>
      <c r="L1" s="22" t="s">
        <v>91</v>
      </c>
      <c r="M1" s="22" t="s">
        <v>92</v>
      </c>
      <c r="N1" s="8"/>
    </row>
    <row r="2" spans="1:14" x14ac:dyDescent="0.25">
      <c r="A2" s="24">
        <v>0</v>
      </c>
      <c r="B2" s="24" t="str">
        <f>TEXT(DEC2BIN(A2,6),"000000")</f>
        <v>000000</v>
      </c>
      <c r="C2" s="24" t="s">
        <v>94</v>
      </c>
      <c r="D2" s="24" t="s">
        <v>95</v>
      </c>
      <c r="E2" s="24" t="s">
        <v>96</v>
      </c>
      <c r="F2" s="24" t="s">
        <v>97</v>
      </c>
      <c r="G2" s="24" t="s">
        <v>98</v>
      </c>
      <c r="H2" s="24" t="s">
        <v>99</v>
      </c>
      <c r="I2" s="24">
        <v>3200</v>
      </c>
      <c r="J2" s="24">
        <v>16</v>
      </c>
      <c r="K2" s="1">
        <v>849</v>
      </c>
      <c r="L2" s="24" t="s">
        <v>100</v>
      </c>
      <c r="M2" s="24" t="s">
        <v>101</v>
      </c>
      <c r="N2" s="44" t="s">
        <v>93</v>
      </c>
    </row>
    <row r="3" spans="1:14" x14ac:dyDescent="0.25">
      <c r="A3" s="24">
        <v>1</v>
      </c>
      <c r="B3" s="24" t="str">
        <f t="shared" ref="B3:B44" si="0">TEXT(DEC2BIN(A3,6),"000000")</f>
        <v>000001</v>
      </c>
      <c r="C3" s="24" t="s">
        <v>94</v>
      </c>
      <c r="D3" s="24" t="s">
        <v>102</v>
      </c>
      <c r="E3" s="24" t="s">
        <v>103</v>
      </c>
      <c r="F3" s="24" t="s">
        <v>97</v>
      </c>
      <c r="G3" s="24" t="s">
        <v>98</v>
      </c>
      <c r="H3" s="24" t="s">
        <v>99</v>
      </c>
      <c r="I3" s="24">
        <v>3200</v>
      </c>
      <c r="J3" s="24">
        <v>16</v>
      </c>
      <c r="K3" s="1">
        <v>850</v>
      </c>
      <c r="L3" s="24" t="s">
        <v>104</v>
      </c>
      <c r="M3" s="24" t="s">
        <v>105</v>
      </c>
      <c r="N3" s="44"/>
    </row>
    <row r="4" spans="1:14" x14ac:dyDescent="0.25">
      <c r="A4" s="24">
        <v>2</v>
      </c>
      <c r="B4" s="24" t="str">
        <f t="shared" si="0"/>
        <v>000010</v>
      </c>
      <c r="C4" s="24" t="s">
        <v>94</v>
      </c>
      <c r="D4" s="24" t="s">
        <v>106</v>
      </c>
      <c r="E4" s="24" t="s">
        <v>107</v>
      </c>
      <c r="F4" s="24" t="s">
        <v>97</v>
      </c>
      <c r="G4" s="24" t="s">
        <v>98</v>
      </c>
      <c r="H4" s="24" t="s">
        <v>99</v>
      </c>
      <c r="I4" s="24">
        <v>3200</v>
      </c>
      <c r="J4" s="24">
        <v>16</v>
      </c>
      <c r="K4" s="1">
        <v>899</v>
      </c>
      <c r="L4" s="24" t="s">
        <v>100</v>
      </c>
      <c r="M4" s="24" t="s">
        <v>108</v>
      </c>
      <c r="N4" s="44"/>
    </row>
    <row r="5" spans="1:14" x14ac:dyDescent="0.25">
      <c r="A5" s="24">
        <v>3</v>
      </c>
      <c r="B5" s="24" t="str">
        <f t="shared" si="0"/>
        <v>000011</v>
      </c>
      <c r="C5" s="24" t="s">
        <v>109</v>
      </c>
      <c r="D5" s="24" t="s">
        <v>110</v>
      </c>
      <c r="E5" s="24" t="s">
        <v>111</v>
      </c>
      <c r="F5" s="24" t="s">
        <v>97</v>
      </c>
      <c r="G5" s="24" t="s">
        <v>98</v>
      </c>
      <c r="H5" s="24" t="s">
        <v>99</v>
      </c>
      <c r="I5" s="24">
        <v>3200</v>
      </c>
      <c r="J5" s="24">
        <v>16</v>
      </c>
      <c r="K5" s="1">
        <v>880</v>
      </c>
      <c r="L5" s="24" t="s">
        <v>104</v>
      </c>
      <c r="M5" s="24" t="s">
        <v>112</v>
      </c>
      <c r="N5" s="44"/>
    </row>
    <row r="6" spans="1:14" x14ac:dyDescent="0.25">
      <c r="A6" s="24">
        <v>4</v>
      </c>
      <c r="B6" s="24" t="str">
        <f t="shared" si="0"/>
        <v>000100</v>
      </c>
      <c r="C6" s="24" t="s">
        <v>109</v>
      </c>
      <c r="D6" s="24" t="s">
        <v>113</v>
      </c>
      <c r="E6" s="24" t="s">
        <v>114</v>
      </c>
      <c r="F6" s="24" t="s">
        <v>97</v>
      </c>
      <c r="G6" s="24" t="s">
        <v>98</v>
      </c>
      <c r="H6" s="24" t="s">
        <v>99</v>
      </c>
      <c r="I6" s="24">
        <v>3200</v>
      </c>
      <c r="J6" s="24">
        <v>16</v>
      </c>
      <c r="K6" s="1">
        <v>850</v>
      </c>
      <c r="L6" s="24" t="s">
        <v>104</v>
      </c>
      <c r="M6" s="24" t="s">
        <v>115</v>
      </c>
      <c r="N6" s="44"/>
    </row>
    <row r="7" spans="1:14" x14ac:dyDescent="0.25">
      <c r="A7" s="24">
        <v>5</v>
      </c>
      <c r="B7" s="24" t="str">
        <f t="shared" si="0"/>
        <v>000101</v>
      </c>
      <c r="C7" s="24" t="s">
        <v>116</v>
      </c>
      <c r="D7" s="24" t="s">
        <v>102</v>
      </c>
      <c r="E7" s="24" t="s">
        <v>103</v>
      </c>
      <c r="F7" s="24" t="s">
        <v>97</v>
      </c>
      <c r="G7" s="24" t="s">
        <v>98</v>
      </c>
      <c r="H7" s="24" t="s">
        <v>99</v>
      </c>
      <c r="I7" s="24">
        <v>3600</v>
      </c>
      <c r="J7" s="24">
        <v>18</v>
      </c>
      <c r="K7" s="1">
        <v>1050</v>
      </c>
      <c r="L7" s="24" t="s">
        <v>104</v>
      </c>
      <c r="M7" s="24" t="s">
        <v>117</v>
      </c>
      <c r="N7" s="44"/>
    </row>
    <row r="8" spans="1:14" x14ac:dyDescent="0.25">
      <c r="A8" s="24">
        <v>6</v>
      </c>
      <c r="B8" s="24" t="str">
        <f t="shared" si="0"/>
        <v>000110</v>
      </c>
      <c r="C8" s="24" t="s">
        <v>116</v>
      </c>
      <c r="D8" s="24" t="s">
        <v>106</v>
      </c>
      <c r="E8" s="24" t="s">
        <v>107</v>
      </c>
      <c r="F8" s="24" t="s">
        <v>97</v>
      </c>
      <c r="G8" s="24" t="s">
        <v>98</v>
      </c>
      <c r="H8" s="24" t="s">
        <v>99</v>
      </c>
      <c r="I8" s="24">
        <v>3600</v>
      </c>
      <c r="J8" s="24">
        <v>18</v>
      </c>
      <c r="K8" s="1">
        <v>1100</v>
      </c>
      <c r="L8" s="24" t="s">
        <v>104</v>
      </c>
      <c r="M8" s="24" t="s">
        <v>118</v>
      </c>
      <c r="N8" s="44"/>
    </row>
    <row r="9" spans="1:14" x14ac:dyDescent="0.25">
      <c r="A9" s="24">
        <v>7</v>
      </c>
      <c r="B9" s="24" t="str">
        <f t="shared" si="0"/>
        <v>000111</v>
      </c>
      <c r="C9" s="2" t="s">
        <v>109</v>
      </c>
      <c r="D9" s="2" t="s">
        <v>95</v>
      </c>
      <c r="E9" s="2" t="s">
        <v>120</v>
      </c>
      <c r="F9" s="2" t="s">
        <v>97</v>
      </c>
      <c r="G9" s="2" t="s">
        <v>98</v>
      </c>
      <c r="H9" s="2" t="s">
        <v>99</v>
      </c>
      <c r="I9" s="2">
        <v>3200</v>
      </c>
      <c r="J9" s="2">
        <v>16</v>
      </c>
      <c r="K9" s="3">
        <v>1050</v>
      </c>
      <c r="L9" s="2" t="s">
        <v>104</v>
      </c>
      <c r="M9" s="2" t="s">
        <v>121</v>
      </c>
      <c r="N9" s="42" t="s">
        <v>119</v>
      </c>
    </row>
    <row r="10" spans="1:14" x14ac:dyDescent="0.25">
      <c r="A10" s="24">
        <v>8</v>
      </c>
      <c r="B10" s="24" t="str">
        <f t="shared" si="0"/>
        <v>001000</v>
      </c>
      <c r="C10" s="2" t="s">
        <v>109</v>
      </c>
      <c r="D10" s="2" t="s">
        <v>102</v>
      </c>
      <c r="E10" s="2" t="s">
        <v>122</v>
      </c>
      <c r="F10" s="2" t="s">
        <v>97</v>
      </c>
      <c r="G10" s="2" t="s">
        <v>98</v>
      </c>
      <c r="H10" s="2" t="s">
        <v>99</v>
      </c>
      <c r="I10" s="2">
        <v>3200</v>
      </c>
      <c r="J10" s="2">
        <v>16</v>
      </c>
      <c r="K10" s="3">
        <v>1100</v>
      </c>
      <c r="L10" s="2" t="s">
        <v>100</v>
      </c>
      <c r="M10" s="2" t="s">
        <v>123</v>
      </c>
      <c r="N10" s="42"/>
    </row>
    <row r="11" spans="1:14" x14ac:dyDescent="0.25">
      <c r="A11" s="24">
        <v>9</v>
      </c>
      <c r="B11" s="24" t="str">
        <f t="shared" si="0"/>
        <v>001001</v>
      </c>
      <c r="C11" s="2" t="s">
        <v>109</v>
      </c>
      <c r="D11" s="2" t="s">
        <v>106</v>
      </c>
      <c r="E11" s="2" t="s">
        <v>124</v>
      </c>
      <c r="F11" s="2" t="s">
        <v>97</v>
      </c>
      <c r="G11" s="2" t="s">
        <v>98</v>
      </c>
      <c r="H11" s="2" t="s">
        <v>99</v>
      </c>
      <c r="I11" s="2">
        <v>3200</v>
      </c>
      <c r="J11" s="2">
        <v>16</v>
      </c>
      <c r="K11" s="3">
        <v>1200</v>
      </c>
      <c r="L11" s="2" t="s">
        <v>104</v>
      </c>
      <c r="M11" s="2" t="s">
        <v>125</v>
      </c>
      <c r="N11" s="42"/>
    </row>
    <row r="12" spans="1:14" x14ac:dyDescent="0.25">
      <c r="A12" s="24">
        <v>10</v>
      </c>
      <c r="B12" s="24" t="str">
        <f t="shared" si="0"/>
        <v>001010</v>
      </c>
      <c r="C12" s="2" t="s">
        <v>116</v>
      </c>
      <c r="D12" s="2" t="s">
        <v>110</v>
      </c>
      <c r="E12" s="2" t="s">
        <v>126</v>
      </c>
      <c r="F12" s="2" t="s">
        <v>97</v>
      </c>
      <c r="G12" s="2" t="s">
        <v>98</v>
      </c>
      <c r="H12" s="2" t="s">
        <v>99</v>
      </c>
      <c r="I12" s="2">
        <v>3200</v>
      </c>
      <c r="J12" s="2">
        <v>16</v>
      </c>
      <c r="K12" s="3">
        <v>1150</v>
      </c>
      <c r="L12" s="2" t="s">
        <v>104</v>
      </c>
      <c r="M12" s="2" t="s">
        <v>127</v>
      </c>
      <c r="N12" s="42"/>
    </row>
    <row r="13" spans="1:14" x14ac:dyDescent="0.25">
      <c r="A13" s="24">
        <v>11</v>
      </c>
      <c r="B13" s="24" t="str">
        <f t="shared" si="0"/>
        <v>001011</v>
      </c>
      <c r="C13" s="2" t="s">
        <v>116</v>
      </c>
      <c r="D13" s="2" t="s">
        <v>95</v>
      </c>
      <c r="E13" s="2" t="s">
        <v>120</v>
      </c>
      <c r="F13" s="2" t="s">
        <v>97</v>
      </c>
      <c r="G13" s="2" t="s">
        <v>98</v>
      </c>
      <c r="H13" s="2" t="s">
        <v>99</v>
      </c>
      <c r="I13" s="2">
        <v>3600</v>
      </c>
      <c r="J13" s="2">
        <v>18</v>
      </c>
      <c r="K13" s="3">
        <v>1250</v>
      </c>
      <c r="L13" s="2" t="s">
        <v>100</v>
      </c>
      <c r="M13" s="2" t="s">
        <v>128</v>
      </c>
      <c r="N13" s="42"/>
    </row>
    <row r="14" spans="1:14" x14ac:dyDescent="0.25">
      <c r="A14" s="24">
        <v>12</v>
      </c>
      <c r="B14" s="24" t="str">
        <f t="shared" si="0"/>
        <v>001100</v>
      </c>
      <c r="C14" s="24" t="s">
        <v>109</v>
      </c>
      <c r="D14" s="24" t="s">
        <v>102</v>
      </c>
      <c r="E14" s="24" t="s">
        <v>103</v>
      </c>
      <c r="F14" s="24" t="s">
        <v>97</v>
      </c>
      <c r="G14" s="24" t="s">
        <v>130</v>
      </c>
      <c r="H14" s="24" t="s">
        <v>131</v>
      </c>
      <c r="I14" s="24">
        <v>3200</v>
      </c>
      <c r="J14" s="24">
        <v>16</v>
      </c>
      <c r="K14" s="1">
        <v>1580</v>
      </c>
      <c r="L14" s="24" t="s">
        <v>104</v>
      </c>
      <c r="M14" s="24" t="s">
        <v>132</v>
      </c>
      <c r="N14" s="45" t="s">
        <v>129</v>
      </c>
    </row>
    <row r="15" spans="1:14" x14ac:dyDescent="0.25">
      <c r="A15" s="24">
        <v>13</v>
      </c>
      <c r="B15" s="24" t="str">
        <f t="shared" si="0"/>
        <v>001101</v>
      </c>
      <c r="C15" s="24" t="s">
        <v>109</v>
      </c>
      <c r="D15" s="24" t="s">
        <v>95</v>
      </c>
      <c r="E15" s="24" t="s">
        <v>96</v>
      </c>
      <c r="F15" s="24" t="s">
        <v>97</v>
      </c>
      <c r="G15" s="24" t="s">
        <v>130</v>
      </c>
      <c r="H15" s="24" t="s">
        <v>131</v>
      </c>
      <c r="I15" s="24">
        <v>3200</v>
      </c>
      <c r="J15" s="24">
        <v>16</v>
      </c>
      <c r="K15" s="1">
        <v>1550</v>
      </c>
      <c r="L15" s="24" t="s">
        <v>100</v>
      </c>
      <c r="M15" s="24" t="s">
        <v>133</v>
      </c>
      <c r="N15" s="45"/>
    </row>
    <row r="16" spans="1:14" x14ac:dyDescent="0.25">
      <c r="A16" s="24">
        <v>14</v>
      </c>
      <c r="B16" s="24" t="str">
        <f t="shared" si="0"/>
        <v>001110</v>
      </c>
      <c r="C16" s="24" t="s">
        <v>109</v>
      </c>
      <c r="D16" s="24" t="s">
        <v>106</v>
      </c>
      <c r="E16" s="24" t="s">
        <v>107</v>
      </c>
      <c r="F16" s="24" t="s">
        <v>97</v>
      </c>
      <c r="G16" s="24" t="s">
        <v>130</v>
      </c>
      <c r="H16" s="24" t="s">
        <v>131</v>
      </c>
      <c r="I16" s="24">
        <v>3200</v>
      </c>
      <c r="J16" s="24">
        <v>16</v>
      </c>
      <c r="K16" s="1">
        <v>1650</v>
      </c>
      <c r="L16" s="24" t="s">
        <v>104</v>
      </c>
      <c r="M16" s="24" t="s">
        <v>134</v>
      </c>
      <c r="N16" s="45"/>
    </row>
    <row r="17" spans="1:14" x14ac:dyDescent="0.25">
      <c r="A17" s="24">
        <v>15</v>
      </c>
      <c r="B17" s="24" t="str">
        <f t="shared" si="0"/>
        <v>001111</v>
      </c>
      <c r="C17" s="24" t="s">
        <v>116</v>
      </c>
      <c r="D17" s="24" t="s">
        <v>102</v>
      </c>
      <c r="E17" s="24" t="s">
        <v>103</v>
      </c>
      <c r="F17" s="24" t="s">
        <v>97</v>
      </c>
      <c r="G17" s="24" t="s">
        <v>130</v>
      </c>
      <c r="H17" s="24" t="s">
        <v>131</v>
      </c>
      <c r="I17" s="24">
        <v>3600</v>
      </c>
      <c r="J17" s="24">
        <v>18</v>
      </c>
      <c r="K17" s="1">
        <v>1900</v>
      </c>
      <c r="L17" s="24" t="s">
        <v>100</v>
      </c>
      <c r="M17" s="24" t="s">
        <v>135</v>
      </c>
      <c r="N17" s="45"/>
    </row>
    <row r="18" spans="1:14" x14ac:dyDescent="0.25">
      <c r="A18" s="24">
        <v>16</v>
      </c>
      <c r="B18" s="24" t="str">
        <f t="shared" si="0"/>
        <v>010000</v>
      </c>
      <c r="C18" s="24" t="s">
        <v>116</v>
      </c>
      <c r="D18" s="24" t="s">
        <v>106</v>
      </c>
      <c r="E18" s="24" t="s">
        <v>107</v>
      </c>
      <c r="F18" s="24" t="s">
        <v>97</v>
      </c>
      <c r="G18" s="24" t="s">
        <v>130</v>
      </c>
      <c r="H18" s="24" t="s">
        <v>131</v>
      </c>
      <c r="I18" s="24">
        <v>3600</v>
      </c>
      <c r="J18" s="24">
        <v>18</v>
      </c>
      <c r="K18" s="1">
        <v>1950</v>
      </c>
      <c r="L18" s="24" t="s">
        <v>104</v>
      </c>
      <c r="M18" s="24" t="s">
        <v>136</v>
      </c>
      <c r="N18" s="45"/>
    </row>
    <row r="19" spans="1:14" x14ac:dyDescent="0.25">
      <c r="A19" s="24">
        <v>17</v>
      </c>
      <c r="B19" s="24" t="str">
        <f t="shared" si="0"/>
        <v>010001</v>
      </c>
      <c r="C19" s="2" t="s">
        <v>116</v>
      </c>
      <c r="D19" s="2" t="s">
        <v>95</v>
      </c>
      <c r="E19" s="2" t="s">
        <v>120</v>
      </c>
      <c r="F19" s="2" t="s">
        <v>97</v>
      </c>
      <c r="G19" s="2" t="s">
        <v>130</v>
      </c>
      <c r="H19" s="2" t="s">
        <v>131</v>
      </c>
      <c r="I19" s="2">
        <v>3200</v>
      </c>
      <c r="J19" s="2">
        <v>16</v>
      </c>
      <c r="K19" s="3">
        <v>1850</v>
      </c>
      <c r="L19" s="2" t="s">
        <v>100</v>
      </c>
      <c r="M19" s="2" t="s">
        <v>138</v>
      </c>
      <c r="N19" s="42" t="s">
        <v>137</v>
      </c>
    </row>
    <row r="20" spans="1:14" x14ac:dyDescent="0.25">
      <c r="A20" s="24">
        <v>18</v>
      </c>
      <c r="B20" s="24" t="str">
        <f t="shared" si="0"/>
        <v>010010</v>
      </c>
      <c r="C20" s="2" t="s">
        <v>116</v>
      </c>
      <c r="D20" s="2" t="s">
        <v>102</v>
      </c>
      <c r="E20" s="2" t="s">
        <v>122</v>
      </c>
      <c r="F20" s="2" t="s">
        <v>97</v>
      </c>
      <c r="G20" s="2" t="s">
        <v>130</v>
      </c>
      <c r="H20" s="2" t="s">
        <v>131</v>
      </c>
      <c r="I20" s="2">
        <v>3200</v>
      </c>
      <c r="J20" s="2">
        <v>16</v>
      </c>
      <c r="K20" s="3">
        <v>1950</v>
      </c>
      <c r="L20" s="2" t="s">
        <v>100</v>
      </c>
      <c r="M20" s="2" t="s">
        <v>139</v>
      </c>
      <c r="N20" s="42"/>
    </row>
    <row r="21" spans="1:14" x14ac:dyDescent="0.25">
      <c r="A21" s="24">
        <v>19</v>
      </c>
      <c r="B21" s="24" t="str">
        <f t="shared" si="0"/>
        <v>010011</v>
      </c>
      <c r="C21" s="2" t="s">
        <v>116</v>
      </c>
      <c r="D21" s="2" t="s">
        <v>106</v>
      </c>
      <c r="E21" s="2" t="s">
        <v>124</v>
      </c>
      <c r="F21" s="2" t="s">
        <v>97</v>
      </c>
      <c r="G21" s="2" t="s">
        <v>130</v>
      </c>
      <c r="H21" s="2" t="s">
        <v>131</v>
      </c>
      <c r="I21" s="2">
        <v>3200</v>
      </c>
      <c r="J21" s="2">
        <v>16</v>
      </c>
      <c r="K21" s="3">
        <v>2050</v>
      </c>
      <c r="L21" s="2" t="s">
        <v>104</v>
      </c>
      <c r="M21" s="2" t="s">
        <v>140</v>
      </c>
      <c r="N21" s="42"/>
    </row>
    <row r="22" spans="1:14" x14ac:dyDescent="0.25">
      <c r="A22" s="24">
        <v>20</v>
      </c>
      <c r="B22" s="24" t="str">
        <f t="shared" si="0"/>
        <v>010100</v>
      </c>
      <c r="C22" s="24" t="s">
        <v>94</v>
      </c>
      <c r="D22" s="24" t="s">
        <v>102</v>
      </c>
      <c r="E22" s="24" t="s">
        <v>103</v>
      </c>
      <c r="F22" s="24" t="s">
        <v>142</v>
      </c>
      <c r="G22" s="24" t="s">
        <v>130</v>
      </c>
      <c r="H22" s="24" t="s">
        <v>131</v>
      </c>
      <c r="I22" s="24">
        <v>6000</v>
      </c>
      <c r="J22" s="24">
        <v>36</v>
      </c>
      <c r="K22" s="1">
        <v>2279</v>
      </c>
      <c r="L22" s="24" t="s">
        <v>104</v>
      </c>
      <c r="M22" s="24" t="s">
        <v>143</v>
      </c>
      <c r="N22" s="43" t="s">
        <v>141</v>
      </c>
    </row>
    <row r="23" spans="1:14" x14ac:dyDescent="0.25">
      <c r="A23" s="24">
        <v>21</v>
      </c>
      <c r="B23" s="24" t="str">
        <f t="shared" si="0"/>
        <v>010101</v>
      </c>
      <c r="C23" s="24" t="s">
        <v>94</v>
      </c>
      <c r="D23" s="24" t="s">
        <v>106</v>
      </c>
      <c r="E23" s="24" t="s">
        <v>144</v>
      </c>
      <c r="F23" s="24" t="s">
        <v>142</v>
      </c>
      <c r="G23" s="24" t="s">
        <v>130</v>
      </c>
      <c r="H23" s="24" t="s">
        <v>131</v>
      </c>
      <c r="I23" s="24">
        <v>6000</v>
      </c>
      <c r="J23" s="24">
        <v>36</v>
      </c>
      <c r="K23" s="1">
        <v>2400</v>
      </c>
      <c r="L23" s="24" t="s">
        <v>100</v>
      </c>
      <c r="M23" s="24" t="s">
        <v>145</v>
      </c>
      <c r="N23" s="43"/>
    </row>
    <row r="24" spans="1:14" x14ac:dyDescent="0.25">
      <c r="A24" s="24">
        <v>22</v>
      </c>
      <c r="B24" s="24" t="str">
        <f t="shared" si="0"/>
        <v>010110</v>
      </c>
      <c r="C24" s="24" t="s">
        <v>109</v>
      </c>
      <c r="D24" s="24" t="s">
        <v>110</v>
      </c>
      <c r="E24" s="24" t="s">
        <v>146</v>
      </c>
      <c r="F24" s="24" t="s">
        <v>142</v>
      </c>
      <c r="G24" s="24" t="s">
        <v>130</v>
      </c>
      <c r="H24" s="24" t="s">
        <v>131</v>
      </c>
      <c r="I24" s="24">
        <v>6000</v>
      </c>
      <c r="J24" s="24">
        <v>36</v>
      </c>
      <c r="K24" s="1">
        <v>2250</v>
      </c>
      <c r="L24" s="24" t="s">
        <v>100</v>
      </c>
      <c r="M24" s="24" t="s">
        <v>147</v>
      </c>
      <c r="N24" s="43"/>
    </row>
    <row r="25" spans="1:14" x14ac:dyDescent="0.25">
      <c r="A25" s="24">
        <v>23</v>
      </c>
      <c r="B25" s="24" t="str">
        <f t="shared" si="0"/>
        <v>010111</v>
      </c>
      <c r="C25" s="24" t="s">
        <v>109</v>
      </c>
      <c r="D25" s="24" t="s">
        <v>102</v>
      </c>
      <c r="E25" s="24" t="s">
        <v>103</v>
      </c>
      <c r="F25" s="24" t="s">
        <v>142</v>
      </c>
      <c r="G25" s="24" t="s">
        <v>130</v>
      </c>
      <c r="H25" s="24" t="s">
        <v>131</v>
      </c>
      <c r="I25" s="24">
        <v>5200</v>
      </c>
      <c r="J25" s="24">
        <v>40</v>
      </c>
      <c r="K25" s="1">
        <v>2000</v>
      </c>
      <c r="L25" s="24" t="s">
        <v>104</v>
      </c>
      <c r="M25" s="24" t="s">
        <v>148</v>
      </c>
      <c r="N25" s="43"/>
    </row>
    <row r="26" spans="1:14" x14ac:dyDescent="0.25">
      <c r="A26" s="24">
        <v>24</v>
      </c>
      <c r="B26" s="24" t="str">
        <f t="shared" si="0"/>
        <v>011000</v>
      </c>
      <c r="C26" s="24" t="s">
        <v>109</v>
      </c>
      <c r="D26" s="24" t="s">
        <v>106</v>
      </c>
      <c r="E26" s="24" t="s">
        <v>144</v>
      </c>
      <c r="F26" s="24" t="s">
        <v>142</v>
      </c>
      <c r="G26" s="24" t="s">
        <v>130</v>
      </c>
      <c r="H26" s="24" t="s">
        <v>131</v>
      </c>
      <c r="I26" s="24">
        <v>5200</v>
      </c>
      <c r="J26" s="24">
        <v>40</v>
      </c>
      <c r="K26" s="1">
        <v>2100</v>
      </c>
      <c r="L26" s="24" t="s">
        <v>104</v>
      </c>
      <c r="M26" s="24" t="s">
        <v>149</v>
      </c>
      <c r="N26" s="43"/>
    </row>
    <row r="27" spans="1:14" x14ac:dyDescent="0.25">
      <c r="A27" s="24">
        <v>25</v>
      </c>
      <c r="B27" s="24" t="str">
        <f t="shared" si="0"/>
        <v>011001</v>
      </c>
      <c r="C27" s="24" t="s">
        <v>116</v>
      </c>
      <c r="D27" s="24" t="s">
        <v>95</v>
      </c>
      <c r="E27" s="24" t="s">
        <v>150</v>
      </c>
      <c r="F27" s="24" t="s">
        <v>142</v>
      </c>
      <c r="G27" s="24" t="s">
        <v>130</v>
      </c>
      <c r="H27" s="24" t="s">
        <v>131</v>
      </c>
      <c r="I27" s="24">
        <v>5600</v>
      </c>
      <c r="J27" s="24">
        <v>40</v>
      </c>
      <c r="K27" s="1">
        <v>2100</v>
      </c>
      <c r="L27" s="24" t="s">
        <v>104</v>
      </c>
      <c r="M27" s="24" t="s">
        <v>151</v>
      </c>
      <c r="N27" s="43"/>
    </row>
    <row r="28" spans="1:14" x14ac:dyDescent="0.25">
      <c r="A28" s="24">
        <v>26</v>
      </c>
      <c r="B28" s="24" t="str">
        <f t="shared" si="0"/>
        <v>011010</v>
      </c>
      <c r="C28" s="24" t="s">
        <v>116</v>
      </c>
      <c r="D28" s="24" t="s">
        <v>152</v>
      </c>
      <c r="E28" s="24" t="s">
        <v>153</v>
      </c>
      <c r="F28" s="24" t="s">
        <v>142</v>
      </c>
      <c r="G28" s="24" t="s">
        <v>130</v>
      </c>
      <c r="H28" s="24" t="s">
        <v>131</v>
      </c>
      <c r="I28" s="24">
        <v>5600</v>
      </c>
      <c r="J28" s="24">
        <v>46</v>
      </c>
      <c r="K28" s="1">
        <v>2100</v>
      </c>
      <c r="L28" s="24" t="s">
        <v>104</v>
      </c>
      <c r="M28" s="24" t="s">
        <v>154</v>
      </c>
      <c r="N28" s="43"/>
    </row>
    <row r="29" spans="1:14" x14ac:dyDescent="0.25">
      <c r="A29" s="24">
        <v>27</v>
      </c>
      <c r="B29" s="24" t="str">
        <f t="shared" si="0"/>
        <v>011011</v>
      </c>
      <c r="C29" s="2" t="s">
        <v>94</v>
      </c>
      <c r="D29" s="2" t="s">
        <v>102</v>
      </c>
      <c r="E29" s="2" t="s">
        <v>122</v>
      </c>
      <c r="F29" s="2" t="s">
        <v>142</v>
      </c>
      <c r="G29" s="2" t="s">
        <v>130</v>
      </c>
      <c r="H29" s="2" t="s">
        <v>131</v>
      </c>
      <c r="I29" s="2">
        <v>6000</v>
      </c>
      <c r="J29" s="2">
        <v>36</v>
      </c>
      <c r="K29" s="3">
        <v>2550</v>
      </c>
      <c r="L29" s="2" t="s">
        <v>104</v>
      </c>
      <c r="M29" s="2" t="s">
        <v>156</v>
      </c>
      <c r="N29" s="42" t="s">
        <v>155</v>
      </c>
    </row>
    <row r="30" spans="1:14" x14ac:dyDescent="0.25">
      <c r="A30" s="24">
        <v>28</v>
      </c>
      <c r="B30" s="24" t="str">
        <f t="shared" si="0"/>
        <v>011100</v>
      </c>
      <c r="C30" s="2" t="s">
        <v>94</v>
      </c>
      <c r="D30" s="2" t="s">
        <v>106</v>
      </c>
      <c r="E30" s="2" t="s">
        <v>157</v>
      </c>
      <c r="F30" s="2" t="s">
        <v>142</v>
      </c>
      <c r="G30" s="2" t="s">
        <v>130</v>
      </c>
      <c r="H30" s="2" t="s">
        <v>131</v>
      </c>
      <c r="I30" s="2">
        <v>6000</v>
      </c>
      <c r="J30" s="2">
        <v>36</v>
      </c>
      <c r="K30" s="3">
        <v>2700</v>
      </c>
      <c r="L30" s="2" t="s">
        <v>100</v>
      </c>
      <c r="M30" s="2" t="s">
        <v>158</v>
      </c>
      <c r="N30" s="42"/>
    </row>
    <row r="31" spans="1:14" x14ac:dyDescent="0.25">
      <c r="A31" s="24">
        <v>29</v>
      </c>
      <c r="B31" s="24" t="str">
        <f t="shared" si="0"/>
        <v>011101</v>
      </c>
      <c r="C31" s="2" t="s">
        <v>109</v>
      </c>
      <c r="D31" s="2" t="s">
        <v>110</v>
      </c>
      <c r="E31" s="2" t="s">
        <v>159</v>
      </c>
      <c r="F31" s="2" t="s">
        <v>142</v>
      </c>
      <c r="G31" s="2" t="s">
        <v>130</v>
      </c>
      <c r="H31" s="2" t="s">
        <v>131</v>
      </c>
      <c r="I31" s="2">
        <v>6000</v>
      </c>
      <c r="J31" s="2">
        <v>36</v>
      </c>
      <c r="K31" s="3">
        <v>2500</v>
      </c>
      <c r="L31" s="2" t="s">
        <v>104</v>
      </c>
      <c r="M31" s="2" t="s">
        <v>160</v>
      </c>
      <c r="N31" s="42"/>
    </row>
    <row r="32" spans="1:14" x14ac:dyDescent="0.25">
      <c r="A32" s="24">
        <v>30</v>
      </c>
      <c r="B32" s="24" t="str">
        <f t="shared" si="0"/>
        <v>011110</v>
      </c>
      <c r="C32" s="2" t="s">
        <v>109</v>
      </c>
      <c r="D32" s="2" t="s">
        <v>95</v>
      </c>
      <c r="E32" s="2" t="s">
        <v>120</v>
      </c>
      <c r="F32" s="2" t="s">
        <v>142</v>
      </c>
      <c r="G32" s="2" t="s">
        <v>130</v>
      </c>
      <c r="H32" s="2" t="s">
        <v>131</v>
      </c>
      <c r="I32" s="2">
        <v>6000</v>
      </c>
      <c r="J32" s="2">
        <v>38</v>
      </c>
      <c r="K32" s="3">
        <v>2450</v>
      </c>
      <c r="L32" s="2" t="s">
        <v>100</v>
      </c>
      <c r="M32" s="2" t="s">
        <v>161</v>
      </c>
      <c r="N32" s="42"/>
    </row>
    <row r="33" spans="1:14" x14ac:dyDescent="0.25">
      <c r="A33" s="24">
        <v>31</v>
      </c>
      <c r="B33" s="24" t="str">
        <f t="shared" si="0"/>
        <v>011111</v>
      </c>
      <c r="C33" s="2" t="s">
        <v>116</v>
      </c>
      <c r="D33" s="2" t="s">
        <v>162</v>
      </c>
      <c r="E33" s="2" t="s">
        <v>163</v>
      </c>
      <c r="F33" s="2" t="s">
        <v>142</v>
      </c>
      <c r="G33" s="2" t="s">
        <v>130</v>
      </c>
      <c r="H33" s="2" t="s">
        <v>131</v>
      </c>
      <c r="I33" s="2">
        <v>6000</v>
      </c>
      <c r="J33" s="2">
        <v>30</v>
      </c>
      <c r="K33" s="3">
        <v>2900</v>
      </c>
      <c r="L33" s="2" t="s">
        <v>104</v>
      </c>
      <c r="M33" s="2" t="s">
        <v>164</v>
      </c>
      <c r="N33" s="42"/>
    </row>
    <row r="34" spans="1:14" x14ac:dyDescent="0.25">
      <c r="A34" s="24">
        <v>32</v>
      </c>
      <c r="B34" s="24" t="str">
        <f t="shared" si="0"/>
        <v>100000</v>
      </c>
      <c r="C34" s="2" t="s">
        <v>116</v>
      </c>
      <c r="D34" s="2" t="s">
        <v>102</v>
      </c>
      <c r="E34" s="2" t="s">
        <v>122</v>
      </c>
      <c r="F34" s="2" t="s">
        <v>142</v>
      </c>
      <c r="G34" s="2" t="s">
        <v>130</v>
      </c>
      <c r="H34" s="2" t="s">
        <v>131</v>
      </c>
      <c r="I34" s="2">
        <v>5200</v>
      </c>
      <c r="J34" s="2">
        <v>40</v>
      </c>
      <c r="K34" s="3">
        <v>2250</v>
      </c>
      <c r="L34" s="2" t="s">
        <v>104</v>
      </c>
      <c r="M34" s="2" t="s">
        <v>165</v>
      </c>
      <c r="N34" s="42"/>
    </row>
    <row r="35" spans="1:14" x14ac:dyDescent="0.25">
      <c r="A35" s="24">
        <v>33</v>
      </c>
      <c r="B35" s="24" t="str">
        <f t="shared" si="0"/>
        <v>100001</v>
      </c>
      <c r="C35" s="2" t="s">
        <v>116</v>
      </c>
      <c r="D35" s="2" t="s">
        <v>106</v>
      </c>
      <c r="E35" s="2" t="s">
        <v>157</v>
      </c>
      <c r="F35" s="2" t="s">
        <v>142</v>
      </c>
      <c r="G35" s="2" t="s">
        <v>130</v>
      </c>
      <c r="H35" s="2" t="s">
        <v>131</v>
      </c>
      <c r="I35" s="2">
        <v>5200</v>
      </c>
      <c r="J35" s="2">
        <v>40</v>
      </c>
      <c r="K35" s="3">
        <v>2350</v>
      </c>
      <c r="L35" s="2" t="s">
        <v>100</v>
      </c>
      <c r="M35" s="2" t="s">
        <v>166</v>
      </c>
      <c r="N35" s="42"/>
    </row>
    <row r="36" spans="1:14" x14ac:dyDescent="0.25">
      <c r="A36" s="24">
        <v>34</v>
      </c>
      <c r="B36" s="24" t="str">
        <f t="shared" si="0"/>
        <v>100010</v>
      </c>
      <c r="C36" s="24" t="s">
        <v>116</v>
      </c>
      <c r="D36" s="24" t="s">
        <v>102</v>
      </c>
      <c r="E36" s="24" t="s">
        <v>103</v>
      </c>
      <c r="F36" s="24" t="s">
        <v>97</v>
      </c>
      <c r="G36" s="24" t="s">
        <v>98</v>
      </c>
      <c r="H36" s="24" t="s">
        <v>168</v>
      </c>
      <c r="I36" s="24">
        <v>3200</v>
      </c>
      <c r="J36" s="24">
        <v>16</v>
      </c>
      <c r="K36" s="1">
        <v>800</v>
      </c>
      <c r="L36" s="24" t="s">
        <v>100</v>
      </c>
      <c r="M36" s="24" t="s">
        <v>169</v>
      </c>
      <c r="N36" s="43" t="s">
        <v>167</v>
      </c>
    </row>
    <row r="37" spans="1:14" x14ac:dyDescent="0.25">
      <c r="A37" s="24">
        <v>35</v>
      </c>
      <c r="B37" s="24" t="str">
        <f t="shared" si="0"/>
        <v>100011</v>
      </c>
      <c r="C37" s="24" t="s">
        <v>116</v>
      </c>
      <c r="D37" s="24" t="s">
        <v>102</v>
      </c>
      <c r="E37" s="24" t="s">
        <v>103</v>
      </c>
      <c r="F37" s="24" t="s">
        <v>142</v>
      </c>
      <c r="G37" s="24" t="s">
        <v>98</v>
      </c>
      <c r="H37" s="24" t="s">
        <v>168</v>
      </c>
      <c r="I37" s="24">
        <v>5200</v>
      </c>
      <c r="J37" s="24">
        <v>40</v>
      </c>
      <c r="K37" s="1">
        <v>1050</v>
      </c>
      <c r="L37" s="24" t="s">
        <v>100</v>
      </c>
      <c r="M37" s="24" t="s">
        <v>170</v>
      </c>
      <c r="N37" s="43"/>
    </row>
    <row r="38" spans="1:14" x14ac:dyDescent="0.25">
      <c r="A38" s="24">
        <v>36</v>
      </c>
      <c r="B38" s="24" t="str">
        <f t="shared" si="0"/>
        <v>100100</v>
      </c>
      <c r="C38" s="2" t="s">
        <v>94</v>
      </c>
      <c r="D38" s="2" t="s">
        <v>102</v>
      </c>
      <c r="E38" s="2" t="s">
        <v>1471</v>
      </c>
      <c r="F38" s="2" t="s">
        <v>97</v>
      </c>
      <c r="G38" s="2" t="s">
        <v>1472</v>
      </c>
      <c r="H38" s="2" t="s">
        <v>1473</v>
      </c>
      <c r="I38" s="2">
        <v>3200</v>
      </c>
      <c r="J38" s="2">
        <v>16</v>
      </c>
      <c r="K38" s="3">
        <v>400</v>
      </c>
      <c r="L38" s="2" t="s">
        <v>104</v>
      </c>
      <c r="M38" s="2" t="s">
        <v>1482</v>
      </c>
      <c r="N38" s="42" t="s">
        <v>1489</v>
      </c>
    </row>
    <row r="39" spans="1:14" x14ac:dyDescent="0.25">
      <c r="A39" s="24">
        <v>37</v>
      </c>
      <c r="B39" s="24" t="str">
        <f t="shared" si="0"/>
        <v>100101</v>
      </c>
      <c r="C39" s="2" t="s">
        <v>109</v>
      </c>
      <c r="D39" s="2" t="s">
        <v>110</v>
      </c>
      <c r="E39" s="2" t="s">
        <v>1474</v>
      </c>
      <c r="F39" s="2" t="s">
        <v>97</v>
      </c>
      <c r="G39" s="2" t="s">
        <v>1472</v>
      </c>
      <c r="H39" s="2" t="s">
        <v>1473</v>
      </c>
      <c r="I39" s="2">
        <v>3200</v>
      </c>
      <c r="J39" s="2">
        <v>16</v>
      </c>
      <c r="K39" s="3">
        <v>450</v>
      </c>
      <c r="L39" s="2" t="s">
        <v>100</v>
      </c>
      <c r="M39" s="2" t="s">
        <v>1483</v>
      </c>
      <c r="N39" s="42"/>
    </row>
    <row r="40" spans="1:14" x14ac:dyDescent="0.25">
      <c r="A40" s="24">
        <v>38</v>
      </c>
      <c r="B40" s="24" t="str">
        <f t="shared" si="0"/>
        <v>100110</v>
      </c>
      <c r="C40" s="2" t="s">
        <v>94</v>
      </c>
      <c r="D40" s="2" t="s">
        <v>102</v>
      </c>
      <c r="E40" s="2" t="s">
        <v>1475</v>
      </c>
      <c r="F40" s="2" t="s">
        <v>97</v>
      </c>
      <c r="G40" s="2" t="s">
        <v>1472</v>
      </c>
      <c r="H40" s="2" t="s">
        <v>1473</v>
      </c>
      <c r="I40" s="2" t="s">
        <v>1476</v>
      </c>
      <c r="J40" s="2">
        <v>22</v>
      </c>
      <c r="K40" s="3">
        <v>350</v>
      </c>
      <c r="L40" s="2" t="s">
        <v>1477</v>
      </c>
      <c r="M40" s="2" t="s">
        <v>1484</v>
      </c>
      <c r="N40" s="42"/>
    </row>
    <row r="41" spans="1:14" x14ac:dyDescent="0.25">
      <c r="A41" s="24">
        <v>39</v>
      </c>
      <c r="B41" s="24" t="str">
        <f t="shared" si="0"/>
        <v>100111</v>
      </c>
      <c r="C41" s="2" t="s">
        <v>116</v>
      </c>
      <c r="D41" s="2" t="s">
        <v>106</v>
      </c>
      <c r="E41" s="2" t="s">
        <v>107</v>
      </c>
      <c r="F41" s="2" t="s">
        <v>97</v>
      </c>
      <c r="G41" s="2" t="s">
        <v>1472</v>
      </c>
      <c r="H41" s="2" t="s">
        <v>1473</v>
      </c>
      <c r="I41" s="2">
        <v>3200</v>
      </c>
      <c r="J41" s="2">
        <v>16</v>
      </c>
      <c r="K41" s="3">
        <v>480</v>
      </c>
      <c r="L41" s="2" t="s">
        <v>104</v>
      </c>
      <c r="M41" s="2" t="s">
        <v>1485</v>
      </c>
      <c r="N41" s="42"/>
    </row>
    <row r="42" spans="1:14" x14ac:dyDescent="0.25">
      <c r="A42" s="24">
        <v>40</v>
      </c>
      <c r="B42" s="24" t="str">
        <f t="shared" si="0"/>
        <v>101000</v>
      </c>
      <c r="C42" s="2" t="s">
        <v>116</v>
      </c>
      <c r="D42" s="2" t="s">
        <v>152</v>
      </c>
      <c r="E42" s="2" t="s">
        <v>1478</v>
      </c>
      <c r="F42" s="2" t="s">
        <v>97</v>
      </c>
      <c r="G42" s="2" t="s">
        <v>1472</v>
      </c>
      <c r="H42" s="2" t="s">
        <v>1473</v>
      </c>
      <c r="I42" s="2" t="s">
        <v>1476</v>
      </c>
      <c r="J42" s="2">
        <v>22</v>
      </c>
      <c r="K42" s="3">
        <v>340</v>
      </c>
      <c r="L42" s="2" t="s">
        <v>104</v>
      </c>
      <c r="M42" s="2" t="s">
        <v>1486</v>
      </c>
      <c r="N42" s="42"/>
    </row>
    <row r="43" spans="1:14" x14ac:dyDescent="0.25">
      <c r="A43" s="24">
        <v>41</v>
      </c>
      <c r="B43" s="24" t="str">
        <f t="shared" si="0"/>
        <v>101001</v>
      </c>
      <c r="C43" s="2" t="s">
        <v>440</v>
      </c>
      <c r="D43" s="2" t="s">
        <v>102</v>
      </c>
      <c r="E43" s="2" t="s">
        <v>1475</v>
      </c>
      <c r="F43" s="2" t="s">
        <v>97</v>
      </c>
      <c r="G43" s="2" t="s">
        <v>1479</v>
      </c>
      <c r="H43" s="2" t="s">
        <v>1480</v>
      </c>
      <c r="I43" s="2">
        <v>2666</v>
      </c>
      <c r="J43" s="2">
        <v>19</v>
      </c>
      <c r="K43" s="3">
        <v>250</v>
      </c>
      <c r="L43" s="2" t="s">
        <v>100</v>
      </c>
      <c r="M43" s="2" t="s">
        <v>1487</v>
      </c>
      <c r="N43" s="42"/>
    </row>
    <row r="44" spans="1:14" x14ac:dyDescent="0.25">
      <c r="A44" s="24">
        <v>42</v>
      </c>
      <c r="B44" s="24" t="str">
        <f t="shared" si="0"/>
        <v>101010</v>
      </c>
      <c r="C44" s="2" t="s">
        <v>440</v>
      </c>
      <c r="D44" s="2" t="s">
        <v>110</v>
      </c>
      <c r="E44" s="2" t="s">
        <v>1481</v>
      </c>
      <c r="F44" s="2" t="s">
        <v>97</v>
      </c>
      <c r="G44" s="2" t="s">
        <v>1479</v>
      </c>
      <c r="H44" s="2" t="s">
        <v>1480</v>
      </c>
      <c r="I44" s="2">
        <v>2666</v>
      </c>
      <c r="J44" s="2">
        <v>19</v>
      </c>
      <c r="K44" s="3">
        <v>240</v>
      </c>
      <c r="L44" s="2" t="s">
        <v>1477</v>
      </c>
      <c r="M44" s="2" t="s">
        <v>1488</v>
      </c>
      <c r="N44" s="42"/>
    </row>
  </sheetData>
  <mergeCells count="8">
    <mergeCell ref="N38:N44"/>
    <mergeCell ref="N29:N35"/>
    <mergeCell ref="N36:N37"/>
    <mergeCell ref="N2:N8"/>
    <mergeCell ref="N9:N13"/>
    <mergeCell ref="N14:N18"/>
    <mergeCell ref="N19:N21"/>
    <mergeCell ref="N22:N28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0B4FD-71D4-495B-A787-63F90FC60363}">
  <dimension ref="A1:N57"/>
  <sheetViews>
    <sheetView topLeftCell="A23" zoomScale="85" zoomScaleNormal="85" workbookViewId="0">
      <selection activeCell="C15" sqref="C15"/>
    </sheetView>
  </sheetViews>
  <sheetFormatPr baseColWidth="10" defaultRowHeight="15" x14ac:dyDescent="0.25"/>
  <cols>
    <col min="1" max="1" width="8.7109375" bestFit="1" customWidth="1"/>
    <col min="2" max="2" width="18.7109375" bestFit="1" customWidth="1"/>
    <col min="3" max="3" width="24.42578125" bestFit="1" customWidth="1"/>
    <col min="4" max="4" width="14.85546875" bestFit="1" customWidth="1"/>
    <col min="5" max="5" width="23.5703125" bestFit="1" customWidth="1"/>
    <col min="6" max="6" width="13" bestFit="1" customWidth="1"/>
    <col min="7" max="7" width="19.140625" bestFit="1" customWidth="1"/>
    <col min="8" max="8" width="28.7109375" bestFit="1" customWidth="1"/>
    <col min="9" max="9" width="30.28515625" bestFit="1" customWidth="1"/>
    <col min="10" max="10" width="16" bestFit="1" customWidth="1"/>
    <col min="11" max="11" width="26.5703125" bestFit="1" customWidth="1"/>
    <col min="12" max="12" width="29.5703125" bestFit="1" customWidth="1"/>
    <col min="13" max="13" width="94" bestFit="1" customWidth="1"/>
    <col min="14" max="14" width="35.28515625" bestFit="1" customWidth="1"/>
  </cols>
  <sheetData>
    <row r="1" spans="1:14" x14ac:dyDescent="0.25">
      <c r="A1" s="27" t="s">
        <v>0</v>
      </c>
      <c r="B1" s="27" t="s">
        <v>1</v>
      </c>
      <c r="C1" s="27" t="s">
        <v>2</v>
      </c>
      <c r="D1" s="27" t="s">
        <v>83</v>
      </c>
      <c r="E1" s="27" t="s">
        <v>84</v>
      </c>
      <c r="F1" s="27" t="s">
        <v>85</v>
      </c>
      <c r="G1" s="27" t="s">
        <v>575</v>
      </c>
      <c r="H1" s="27" t="s">
        <v>576</v>
      </c>
      <c r="I1" s="27" t="s">
        <v>577</v>
      </c>
      <c r="J1" s="27" t="s">
        <v>578</v>
      </c>
      <c r="K1" s="27" t="s">
        <v>91</v>
      </c>
      <c r="L1" s="27" t="s">
        <v>90</v>
      </c>
      <c r="M1" s="22" t="s">
        <v>579</v>
      </c>
      <c r="N1" s="8"/>
    </row>
    <row r="2" spans="1:14" x14ac:dyDescent="0.25">
      <c r="A2" s="28">
        <v>0</v>
      </c>
      <c r="B2" s="28" t="str">
        <f>TEXT(DEC2BIN(A2,6),"000000")</f>
        <v>000000</v>
      </c>
      <c r="C2" s="28" t="s">
        <v>94</v>
      </c>
      <c r="D2" s="28" t="s">
        <v>581</v>
      </c>
      <c r="E2" s="28" t="s">
        <v>582</v>
      </c>
      <c r="F2" s="28" t="s">
        <v>583</v>
      </c>
      <c r="G2" s="28" t="s">
        <v>584</v>
      </c>
      <c r="H2" s="28" t="s">
        <v>585</v>
      </c>
      <c r="I2" s="28" t="s">
        <v>585</v>
      </c>
      <c r="J2" s="28" t="s">
        <v>586</v>
      </c>
      <c r="K2" s="28" t="s">
        <v>100</v>
      </c>
      <c r="L2" s="29">
        <v>800</v>
      </c>
      <c r="M2" s="24" t="s">
        <v>587</v>
      </c>
      <c r="N2" s="44" t="s">
        <v>580</v>
      </c>
    </row>
    <row r="3" spans="1:14" x14ac:dyDescent="0.25">
      <c r="A3" s="28">
        <v>1</v>
      </c>
      <c r="B3" s="28" t="str">
        <f t="shared" ref="B3:B57" si="0">TEXT(DEC2BIN(A3,6),"000000")</f>
        <v>000001</v>
      </c>
      <c r="C3" s="28" t="s">
        <v>94</v>
      </c>
      <c r="D3" s="28" t="s">
        <v>581</v>
      </c>
      <c r="E3" s="28" t="s">
        <v>582</v>
      </c>
      <c r="F3" s="28" t="s">
        <v>583</v>
      </c>
      <c r="G3" s="28" t="s">
        <v>588</v>
      </c>
      <c r="H3" s="28" t="s">
        <v>589</v>
      </c>
      <c r="I3" s="28" t="s">
        <v>589</v>
      </c>
      <c r="J3" s="28" t="s">
        <v>586</v>
      </c>
      <c r="K3" s="28" t="s">
        <v>100</v>
      </c>
      <c r="L3" s="29">
        <v>1050</v>
      </c>
      <c r="M3" s="24" t="s">
        <v>590</v>
      </c>
      <c r="N3" s="44"/>
    </row>
    <row r="4" spans="1:14" x14ac:dyDescent="0.25">
      <c r="A4" s="28">
        <v>2</v>
      </c>
      <c r="B4" s="28" t="str">
        <f t="shared" si="0"/>
        <v>000010</v>
      </c>
      <c r="C4" s="28" t="s">
        <v>109</v>
      </c>
      <c r="D4" s="28" t="s">
        <v>591</v>
      </c>
      <c r="E4" s="28" t="s">
        <v>592</v>
      </c>
      <c r="F4" s="28" t="s">
        <v>583</v>
      </c>
      <c r="G4" s="28" t="s">
        <v>584</v>
      </c>
      <c r="H4" s="28" t="s">
        <v>585</v>
      </c>
      <c r="I4" s="28" t="s">
        <v>585</v>
      </c>
      <c r="J4" s="28" t="s">
        <v>586</v>
      </c>
      <c r="K4" s="28" t="s">
        <v>104</v>
      </c>
      <c r="L4" s="29">
        <v>850</v>
      </c>
      <c r="M4" s="24" t="s">
        <v>593</v>
      </c>
      <c r="N4" s="44"/>
    </row>
    <row r="5" spans="1:14" x14ac:dyDescent="0.25">
      <c r="A5" s="28">
        <v>3</v>
      </c>
      <c r="B5" s="28" t="str">
        <f t="shared" si="0"/>
        <v>000011</v>
      </c>
      <c r="C5" s="28" t="s">
        <v>109</v>
      </c>
      <c r="D5" s="28" t="s">
        <v>591</v>
      </c>
      <c r="E5" s="28" t="s">
        <v>592</v>
      </c>
      <c r="F5" s="28" t="s">
        <v>583</v>
      </c>
      <c r="G5" s="28" t="s">
        <v>588</v>
      </c>
      <c r="H5" s="28" t="s">
        <v>589</v>
      </c>
      <c r="I5" s="28" t="s">
        <v>589</v>
      </c>
      <c r="J5" s="28" t="s">
        <v>586</v>
      </c>
      <c r="K5" s="28" t="s">
        <v>104</v>
      </c>
      <c r="L5" s="29">
        <v>1100</v>
      </c>
      <c r="M5" s="24" t="s">
        <v>594</v>
      </c>
      <c r="N5" s="44"/>
    </row>
    <row r="6" spans="1:14" x14ac:dyDescent="0.25">
      <c r="A6" s="28">
        <v>4</v>
      </c>
      <c r="B6" s="28" t="str">
        <f t="shared" si="0"/>
        <v>000100</v>
      </c>
      <c r="C6" s="28" t="s">
        <v>116</v>
      </c>
      <c r="D6" s="28" t="s">
        <v>581</v>
      </c>
      <c r="E6" s="28" t="s">
        <v>582</v>
      </c>
      <c r="F6" s="28" t="s">
        <v>583</v>
      </c>
      <c r="G6" s="28" t="s">
        <v>595</v>
      </c>
      <c r="H6" s="28" t="s">
        <v>596</v>
      </c>
      <c r="I6" s="28" t="s">
        <v>596</v>
      </c>
      <c r="J6" s="28" t="s">
        <v>586</v>
      </c>
      <c r="K6" s="28" t="s">
        <v>104</v>
      </c>
      <c r="L6" s="29">
        <v>1800</v>
      </c>
      <c r="M6" s="24" t="s">
        <v>597</v>
      </c>
      <c r="N6" s="44"/>
    </row>
    <row r="7" spans="1:14" x14ac:dyDescent="0.25">
      <c r="A7" s="28">
        <v>5</v>
      </c>
      <c r="B7" s="28" t="str">
        <f t="shared" si="0"/>
        <v>000101</v>
      </c>
      <c r="C7" s="28" t="s">
        <v>116</v>
      </c>
      <c r="D7" s="28" t="s">
        <v>591</v>
      </c>
      <c r="E7" s="28" t="s">
        <v>592</v>
      </c>
      <c r="F7" s="28" t="s">
        <v>583</v>
      </c>
      <c r="G7" s="28" t="s">
        <v>595</v>
      </c>
      <c r="H7" s="28" t="s">
        <v>589</v>
      </c>
      <c r="I7" s="28" t="s">
        <v>589</v>
      </c>
      <c r="J7" s="28" t="s">
        <v>586</v>
      </c>
      <c r="K7" s="28" t="s">
        <v>104</v>
      </c>
      <c r="L7" s="29">
        <v>1900</v>
      </c>
      <c r="M7" s="24" t="s">
        <v>598</v>
      </c>
      <c r="N7" s="44"/>
    </row>
    <row r="8" spans="1:14" x14ac:dyDescent="0.25">
      <c r="A8" s="28">
        <v>6</v>
      </c>
      <c r="B8" s="28" t="str">
        <f t="shared" si="0"/>
        <v>000110</v>
      </c>
      <c r="C8" s="30" t="s">
        <v>447</v>
      </c>
      <c r="D8" s="30" t="s">
        <v>581</v>
      </c>
      <c r="E8" s="30" t="s">
        <v>600</v>
      </c>
      <c r="F8" s="30" t="s">
        <v>583</v>
      </c>
      <c r="G8" s="30" t="s">
        <v>595</v>
      </c>
      <c r="H8" s="30" t="s">
        <v>589</v>
      </c>
      <c r="I8" s="30" t="s">
        <v>589</v>
      </c>
      <c r="J8" s="30" t="s">
        <v>586</v>
      </c>
      <c r="K8" s="30" t="s">
        <v>104</v>
      </c>
      <c r="L8" s="31">
        <v>2400</v>
      </c>
      <c r="M8" s="2" t="s">
        <v>601</v>
      </c>
      <c r="N8" s="42" t="s">
        <v>599</v>
      </c>
    </row>
    <row r="9" spans="1:14" x14ac:dyDescent="0.25">
      <c r="A9" s="28">
        <v>7</v>
      </c>
      <c r="B9" s="28" t="str">
        <f t="shared" si="0"/>
        <v>000111</v>
      </c>
      <c r="C9" s="30" t="s">
        <v>440</v>
      </c>
      <c r="D9" s="30" t="s">
        <v>581</v>
      </c>
      <c r="E9" s="30" t="s">
        <v>600</v>
      </c>
      <c r="F9" s="30" t="s">
        <v>583</v>
      </c>
      <c r="G9" s="30" t="s">
        <v>602</v>
      </c>
      <c r="H9" s="30" t="s">
        <v>603</v>
      </c>
      <c r="I9" s="30" t="s">
        <v>603</v>
      </c>
      <c r="J9" s="30" t="s">
        <v>586</v>
      </c>
      <c r="K9" s="30" t="s">
        <v>104</v>
      </c>
      <c r="L9" s="31">
        <v>4500</v>
      </c>
      <c r="M9" s="2" t="s">
        <v>604</v>
      </c>
      <c r="N9" s="42"/>
    </row>
    <row r="10" spans="1:14" x14ac:dyDescent="0.25">
      <c r="A10" s="28">
        <v>8</v>
      </c>
      <c r="B10" s="28" t="str">
        <f t="shared" si="0"/>
        <v>001000</v>
      </c>
      <c r="C10" s="30" t="s">
        <v>440</v>
      </c>
      <c r="D10" s="30" t="s">
        <v>591</v>
      </c>
      <c r="E10" s="30" t="s">
        <v>605</v>
      </c>
      <c r="F10" s="30" t="s">
        <v>583</v>
      </c>
      <c r="G10" s="30" t="s">
        <v>595</v>
      </c>
      <c r="H10" s="30" t="s">
        <v>606</v>
      </c>
      <c r="I10" s="30" t="s">
        <v>606</v>
      </c>
      <c r="J10" s="30" t="s">
        <v>586</v>
      </c>
      <c r="K10" s="30" t="s">
        <v>104</v>
      </c>
      <c r="L10" s="31">
        <v>2500</v>
      </c>
      <c r="M10" s="2" t="s">
        <v>607</v>
      </c>
      <c r="N10" s="42"/>
    </row>
    <row r="11" spans="1:14" x14ac:dyDescent="0.25">
      <c r="A11" s="28">
        <v>9</v>
      </c>
      <c r="B11" s="28" t="str">
        <f t="shared" si="0"/>
        <v>001001</v>
      </c>
      <c r="C11" s="28" t="s">
        <v>94</v>
      </c>
      <c r="D11" s="28" t="s">
        <v>102</v>
      </c>
      <c r="E11" s="28" t="s">
        <v>609</v>
      </c>
      <c r="F11" s="28" t="s">
        <v>610</v>
      </c>
      <c r="G11" s="28" t="s">
        <v>611</v>
      </c>
      <c r="H11" s="28">
        <v>500</v>
      </c>
      <c r="I11" s="28">
        <v>450</v>
      </c>
      <c r="J11" s="28" t="s">
        <v>586</v>
      </c>
      <c r="K11" s="28" t="s">
        <v>100</v>
      </c>
      <c r="L11" s="29">
        <v>550</v>
      </c>
      <c r="M11" s="24" t="s">
        <v>612</v>
      </c>
      <c r="N11" s="43" t="s">
        <v>608</v>
      </c>
    </row>
    <row r="12" spans="1:14" x14ac:dyDescent="0.25">
      <c r="A12" s="28">
        <v>10</v>
      </c>
      <c r="B12" s="28" t="str">
        <f t="shared" si="0"/>
        <v>001010</v>
      </c>
      <c r="C12" s="28" t="s">
        <v>94</v>
      </c>
      <c r="D12" s="28" t="s">
        <v>102</v>
      </c>
      <c r="E12" s="28" t="s">
        <v>609</v>
      </c>
      <c r="F12" s="28" t="s">
        <v>610</v>
      </c>
      <c r="G12" s="28" t="s">
        <v>613</v>
      </c>
      <c r="H12" s="28">
        <v>500</v>
      </c>
      <c r="I12" s="28">
        <v>450</v>
      </c>
      <c r="J12" s="28" t="s">
        <v>586</v>
      </c>
      <c r="K12" s="28" t="s">
        <v>100</v>
      </c>
      <c r="L12" s="29">
        <v>900</v>
      </c>
      <c r="M12" s="24" t="s">
        <v>614</v>
      </c>
      <c r="N12" s="43"/>
    </row>
    <row r="13" spans="1:14" x14ac:dyDescent="0.25">
      <c r="A13" s="28">
        <v>11</v>
      </c>
      <c r="B13" s="28" t="str">
        <f t="shared" si="0"/>
        <v>001011</v>
      </c>
      <c r="C13" s="28" t="s">
        <v>109</v>
      </c>
      <c r="D13" s="28" t="s">
        <v>152</v>
      </c>
      <c r="E13" s="28" t="s">
        <v>615</v>
      </c>
      <c r="F13" s="28" t="s">
        <v>610</v>
      </c>
      <c r="G13" s="28" t="s">
        <v>611</v>
      </c>
      <c r="H13" s="28">
        <v>540</v>
      </c>
      <c r="I13" s="28">
        <v>500</v>
      </c>
      <c r="J13" s="28" t="s">
        <v>586</v>
      </c>
      <c r="K13" s="28" t="s">
        <v>104</v>
      </c>
      <c r="L13" s="29">
        <v>580</v>
      </c>
      <c r="M13" s="24" t="s">
        <v>616</v>
      </c>
      <c r="N13" s="43"/>
    </row>
    <row r="14" spans="1:14" x14ac:dyDescent="0.25">
      <c r="A14" s="28">
        <v>12</v>
      </c>
      <c r="B14" s="28" t="str">
        <f t="shared" si="0"/>
        <v>001100</v>
      </c>
      <c r="C14" s="28" t="s">
        <v>109</v>
      </c>
      <c r="D14" s="28" t="s">
        <v>152</v>
      </c>
      <c r="E14" s="28" t="s">
        <v>615</v>
      </c>
      <c r="F14" s="28" t="s">
        <v>610</v>
      </c>
      <c r="G14" s="28" t="s">
        <v>584</v>
      </c>
      <c r="H14" s="28">
        <v>540</v>
      </c>
      <c r="I14" s="28">
        <v>500</v>
      </c>
      <c r="J14" s="28" t="s">
        <v>586</v>
      </c>
      <c r="K14" s="28" t="s">
        <v>104</v>
      </c>
      <c r="L14" s="29">
        <v>950</v>
      </c>
      <c r="M14" s="24" t="s">
        <v>617</v>
      </c>
      <c r="N14" s="43"/>
    </row>
    <row r="15" spans="1:14" x14ac:dyDescent="0.25">
      <c r="A15" s="28">
        <v>13</v>
      </c>
      <c r="B15" s="28" t="str">
        <f t="shared" si="0"/>
        <v>001101</v>
      </c>
      <c r="C15" s="28" t="s">
        <v>116</v>
      </c>
      <c r="D15" s="28" t="s">
        <v>618</v>
      </c>
      <c r="E15" s="28" t="s">
        <v>619</v>
      </c>
      <c r="F15" s="28" t="s">
        <v>610</v>
      </c>
      <c r="G15" s="28" t="s">
        <v>611</v>
      </c>
      <c r="H15" s="28">
        <v>520</v>
      </c>
      <c r="I15" s="28">
        <v>450</v>
      </c>
      <c r="J15" s="28" t="s">
        <v>586</v>
      </c>
      <c r="K15" s="28" t="s">
        <v>100</v>
      </c>
      <c r="L15" s="29">
        <v>530</v>
      </c>
      <c r="M15" s="24" t="s">
        <v>620</v>
      </c>
      <c r="N15" s="43"/>
    </row>
    <row r="16" spans="1:14" x14ac:dyDescent="0.25">
      <c r="A16" s="28">
        <v>14</v>
      </c>
      <c r="B16" s="28" t="str">
        <f t="shared" si="0"/>
        <v>001110</v>
      </c>
      <c r="C16" s="28" t="s">
        <v>116</v>
      </c>
      <c r="D16" s="28" t="s">
        <v>591</v>
      </c>
      <c r="E16" s="28" t="s">
        <v>621</v>
      </c>
      <c r="F16" s="28" t="s">
        <v>610</v>
      </c>
      <c r="G16" s="28" t="s">
        <v>584</v>
      </c>
      <c r="H16" s="28">
        <v>560</v>
      </c>
      <c r="I16" s="28">
        <v>520</v>
      </c>
      <c r="J16" s="28" t="s">
        <v>586</v>
      </c>
      <c r="K16" s="28" t="s">
        <v>104</v>
      </c>
      <c r="L16" s="29">
        <v>1150</v>
      </c>
      <c r="M16" s="24" t="s">
        <v>622</v>
      </c>
      <c r="N16" s="43"/>
    </row>
    <row r="17" spans="1:14" x14ac:dyDescent="0.25">
      <c r="A17" s="28">
        <v>15</v>
      </c>
      <c r="B17" s="28" t="str">
        <f t="shared" si="0"/>
        <v>001111</v>
      </c>
      <c r="C17" s="28" t="s">
        <v>116</v>
      </c>
      <c r="D17" s="28" t="s">
        <v>623</v>
      </c>
      <c r="E17" s="28" t="s">
        <v>624</v>
      </c>
      <c r="F17" s="28" t="s">
        <v>610</v>
      </c>
      <c r="G17" s="28" t="s">
        <v>584</v>
      </c>
      <c r="H17" s="28">
        <v>560</v>
      </c>
      <c r="I17" s="28">
        <v>530</v>
      </c>
      <c r="J17" s="28" t="s">
        <v>586</v>
      </c>
      <c r="K17" s="28" t="s">
        <v>104</v>
      </c>
      <c r="L17" s="29">
        <v>1300</v>
      </c>
      <c r="M17" s="24" t="s">
        <v>625</v>
      </c>
      <c r="N17" s="43"/>
    </row>
    <row r="18" spans="1:14" x14ac:dyDescent="0.25">
      <c r="A18" s="28">
        <v>16</v>
      </c>
      <c r="B18" s="28" t="str">
        <f t="shared" si="0"/>
        <v>010000</v>
      </c>
      <c r="C18" s="30" t="s">
        <v>109</v>
      </c>
      <c r="D18" s="30" t="s">
        <v>102</v>
      </c>
      <c r="E18" s="30" t="s">
        <v>627</v>
      </c>
      <c r="F18" s="30" t="s">
        <v>628</v>
      </c>
      <c r="G18" s="30" t="s">
        <v>584</v>
      </c>
      <c r="H18" s="30" t="s">
        <v>629</v>
      </c>
      <c r="I18" s="30" t="s">
        <v>630</v>
      </c>
      <c r="J18" s="30" t="s">
        <v>388</v>
      </c>
      <c r="K18" s="30" t="s">
        <v>100</v>
      </c>
      <c r="L18" s="31">
        <v>900</v>
      </c>
      <c r="M18" s="2" t="s">
        <v>631</v>
      </c>
      <c r="N18" s="42" t="s">
        <v>626</v>
      </c>
    </row>
    <row r="19" spans="1:14" x14ac:dyDescent="0.25">
      <c r="A19" s="28">
        <v>17</v>
      </c>
      <c r="B19" s="28" t="str">
        <f t="shared" si="0"/>
        <v>010001</v>
      </c>
      <c r="C19" s="30" t="s">
        <v>109</v>
      </c>
      <c r="D19" s="30" t="s">
        <v>152</v>
      </c>
      <c r="E19" s="30" t="s">
        <v>632</v>
      </c>
      <c r="F19" s="30" t="s">
        <v>628</v>
      </c>
      <c r="G19" s="30" t="s">
        <v>584</v>
      </c>
      <c r="H19" s="30">
        <v>3500</v>
      </c>
      <c r="I19" s="30">
        <v>3000</v>
      </c>
      <c r="J19" s="30" t="s">
        <v>388</v>
      </c>
      <c r="K19" s="30" t="s">
        <v>104</v>
      </c>
      <c r="L19" s="31">
        <v>980</v>
      </c>
      <c r="M19" s="2" t="s">
        <v>633</v>
      </c>
      <c r="N19" s="42"/>
    </row>
    <row r="20" spans="1:14" x14ac:dyDescent="0.25">
      <c r="A20" s="28">
        <v>18</v>
      </c>
      <c r="B20" s="28" t="str">
        <f t="shared" si="0"/>
        <v>010010</v>
      </c>
      <c r="C20" s="30" t="s">
        <v>109</v>
      </c>
      <c r="D20" s="30" t="s">
        <v>591</v>
      </c>
      <c r="E20" s="30" t="s">
        <v>634</v>
      </c>
      <c r="F20" s="30" t="s">
        <v>628</v>
      </c>
      <c r="G20" s="30" t="s">
        <v>584</v>
      </c>
      <c r="H20" s="30">
        <v>3500</v>
      </c>
      <c r="I20" s="30">
        <v>3000</v>
      </c>
      <c r="J20" s="30" t="s">
        <v>388</v>
      </c>
      <c r="K20" s="30" t="s">
        <v>100</v>
      </c>
      <c r="L20" s="31">
        <v>1050</v>
      </c>
      <c r="M20" s="2" t="s">
        <v>635</v>
      </c>
      <c r="N20" s="42"/>
    </row>
    <row r="21" spans="1:14" x14ac:dyDescent="0.25">
      <c r="A21" s="28">
        <v>19</v>
      </c>
      <c r="B21" s="28" t="str">
        <f t="shared" si="0"/>
        <v>010011</v>
      </c>
      <c r="C21" s="30" t="s">
        <v>116</v>
      </c>
      <c r="D21" s="30" t="s">
        <v>110</v>
      </c>
      <c r="E21" s="30" t="s">
        <v>636</v>
      </c>
      <c r="F21" s="30" t="s">
        <v>628</v>
      </c>
      <c r="G21" s="30" t="s">
        <v>584</v>
      </c>
      <c r="H21" s="30">
        <v>2400</v>
      </c>
      <c r="I21" s="30">
        <v>1800</v>
      </c>
      <c r="J21" s="30" t="s">
        <v>388</v>
      </c>
      <c r="K21" s="30" t="s">
        <v>100</v>
      </c>
      <c r="L21" s="31">
        <v>950</v>
      </c>
      <c r="M21" s="2" t="s">
        <v>637</v>
      </c>
      <c r="N21" s="42"/>
    </row>
    <row r="22" spans="1:14" x14ac:dyDescent="0.25">
      <c r="A22" s="28">
        <v>20</v>
      </c>
      <c r="B22" s="28" t="str">
        <f t="shared" si="0"/>
        <v>010100</v>
      </c>
      <c r="C22" s="30" t="s">
        <v>116</v>
      </c>
      <c r="D22" s="30" t="s">
        <v>95</v>
      </c>
      <c r="E22" s="30" t="s">
        <v>638</v>
      </c>
      <c r="F22" s="30" t="s">
        <v>628</v>
      </c>
      <c r="G22" s="30" t="s">
        <v>584</v>
      </c>
      <c r="H22" s="30">
        <v>1800</v>
      </c>
      <c r="I22" s="30">
        <v>1500</v>
      </c>
      <c r="J22" s="30" t="s">
        <v>388</v>
      </c>
      <c r="K22" s="30" t="s">
        <v>104</v>
      </c>
      <c r="L22" s="31">
        <v>880</v>
      </c>
      <c r="M22" s="2" t="s">
        <v>639</v>
      </c>
      <c r="N22" s="42"/>
    </row>
    <row r="23" spans="1:14" x14ac:dyDescent="0.25">
      <c r="A23" s="28">
        <v>21</v>
      </c>
      <c r="B23" s="28" t="str">
        <f t="shared" si="0"/>
        <v>010101</v>
      </c>
      <c r="C23" s="30" t="s">
        <v>116</v>
      </c>
      <c r="D23" s="30" t="s">
        <v>640</v>
      </c>
      <c r="E23" s="30" t="s">
        <v>641</v>
      </c>
      <c r="F23" s="30" t="s">
        <v>628</v>
      </c>
      <c r="G23" s="30" t="s">
        <v>584</v>
      </c>
      <c r="H23" s="30">
        <v>2200</v>
      </c>
      <c r="I23" s="30">
        <v>1600</v>
      </c>
      <c r="J23" s="30" t="s">
        <v>388</v>
      </c>
      <c r="K23" s="30" t="s">
        <v>104</v>
      </c>
      <c r="L23" s="31">
        <v>920</v>
      </c>
      <c r="M23" s="2" t="s">
        <v>642</v>
      </c>
      <c r="N23" s="42"/>
    </row>
    <row r="24" spans="1:14" x14ac:dyDescent="0.25">
      <c r="A24" s="28">
        <v>22</v>
      </c>
      <c r="B24" s="28" t="str">
        <f t="shared" si="0"/>
        <v>010110</v>
      </c>
      <c r="C24" s="28" t="s">
        <v>116</v>
      </c>
      <c r="D24" s="28" t="s">
        <v>623</v>
      </c>
      <c r="E24" s="28" t="s">
        <v>644</v>
      </c>
      <c r="F24" s="28" t="s">
        <v>628</v>
      </c>
      <c r="G24" s="28" t="s">
        <v>584</v>
      </c>
      <c r="H24" s="28">
        <v>3500</v>
      </c>
      <c r="I24" s="28">
        <v>3300</v>
      </c>
      <c r="J24" s="28" t="s">
        <v>388</v>
      </c>
      <c r="K24" s="28" t="s">
        <v>104</v>
      </c>
      <c r="L24" s="29">
        <v>1200</v>
      </c>
      <c r="M24" s="24" t="s">
        <v>645</v>
      </c>
      <c r="N24" s="45" t="s">
        <v>643</v>
      </c>
    </row>
    <row r="25" spans="1:14" x14ac:dyDescent="0.25">
      <c r="A25" s="28">
        <v>23</v>
      </c>
      <c r="B25" s="28" t="str">
        <f t="shared" si="0"/>
        <v>010111</v>
      </c>
      <c r="C25" s="28" t="s">
        <v>116</v>
      </c>
      <c r="D25" s="28" t="s">
        <v>95</v>
      </c>
      <c r="E25" s="28" t="s">
        <v>646</v>
      </c>
      <c r="F25" s="28" t="s">
        <v>628</v>
      </c>
      <c r="G25" s="28" t="s">
        <v>584</v>
      </c>
      <c r="H25" s="28">
        <v>3400</v>
      </c>
      <c r="I25" s="28">
        <v>2900</v>
      </c>
      <c r="J25" s="28" t="s">
        <v>388</v>
      </c>
      <c r="K25" s="28" t="s">
        <v>104</v>
      </c>
      <c r="L25" s="29">
        <v>1050</v>
      </c>
      <c r="M25" s="24" t="s">
        <v>647</v>
      </c>
      <c r="N25" s="45"/>
    </row>
    <row r="26" spans="1:14" x14ac:dyDescent="0.25">
      <c r="A26" s="28">
        <v>24</v>
      </c>
      <c r="B26" s="28" t="str">
        <f t="shared" si="0"/>
        <v>011000</v>
      </c>
      <c r="C26" s="28" t="s">
        <v>116</v>
      </c>
      <c r="D26" s="28" t="s">
        <v>648</v>
      </c>
      <c r="E26" s="28" t="s">
        <v>649</v>
      </c>
      <c r="F26" s="28" t="s">
        <v>628</v>
      </c>
      <c r="G26" s="28" t="s">
        <v>584</v>
      </c>
      <c r="H26" s="28">
        <v>3300</v>
      </c>
      <c r="I26" s="28">
        <v>2700</v>
      </c>
      <c r="J26" s="28" t="s">
        <v>388</v>
      </c>
      <c r="K26" s="28" t="s">
        <v>100</v>
      </c>
      <c r="L26" s="29">
        <v>1000</v>
      </c>
      <c r="M26" s="24" t="s">
        <v>650</v>
      </c>
      <c r="N26" s="45"/>
    </row>
    <row r="27" spans="1:14" x14ac:dyDescent="0.25">
      <c r="A27" s="28">
        <v>25</v>
      </c>
      <c r="B27" s="28" t="str">
        <f t="shared" si="0"/>
        <v>011001</v>
      </c>
      <c r="C27" s="28" t="s">
        <v>288</v>
      </c>
      <c r="D27" s="28" t="s">
        <v>648</v>
      </c>
      <c r="E27" s="28" t="s">
        <v>649</v>
      </c>
      <c r="F27" s="28" t="s">
        <v>628</v>
      </c>
      <c r="G27" s="28" t="s">
        <v>588</v>
      </c>
      <c r="H27" s="28">
        <v>3300</v>
      </c>
      <c r="I27" s="28">
        <v>2700</v>
      </c>
      <c r="J27" s="28" t="s">
        <v>388</v>
      </c>
      <c r="K27" s="28" t="s">
        <v>100</v>
      </c>
      <c r="L27" s="29">
        <v>1850</v>
      </c>
      <c r="M27" s="24" t="s">
        <v>651</v>
      </c>
      <c r="N27" s="45"/>
    </row>
    <row r="28" spans="1:14" x14ac:dyDescent="0.25">
      <c r="A28" s="28">
        <v>26</v>
      </c>
      <c r="B28" s="28" t="str">
        <f t="shared" si="0"/>
        <v>011010</v>
      </c>
      <c r="C28" s="28" t="s">
        <v>116</v>
      </c>
      <c r="D28" s="28" t="s">
        <v>648</v>
      </c>
      <c r="E28" s="28" t="s">
        <v>652</v>
      </c>
      <c r="F28" s="28" t="s">
        <v>628</v>
      </c>
      <c r="G28" s="28" t="s">
        <v>584</v>
      </c>
      <c r="H28" s="28">
        <v>3300</v>
      </c>
      <c r="I28" s="28">
        <v>2700</v>
      </c>
      <c r="J28" s="28" t="s">
        <v>388</v>
      </c>
      <c r="K28" s="28" t="s">
        <v>100</v>
      </c>
      <c r="L28" s="29">
        <v>1100</v>
      </c>
      <c r="M28" s="24" t="s">
        <v>653</v>
      </c>
      <c r="N28" s="45"/>
    </row>
    <row r="29" spans="1:14" x14ac:dyDescent="0.25">
      <c r="A29" s="28">
        <v>27</v>
      </c>
      <c r="B29" s="28" t="str">
        <f t="shared" si="0"/>
        <v>011011</v>
      </c>
      <c r="C29" s="28" t="s">
        <v>288</v>
      </c>
      <c r="D29" s="28" t="s">
        <v>648</v>
      </c>
      <c r="E29" s="28" t="s">
        <v>652</v>
      </c>
      <c r="F29" s="28" t="s">
        <v>628</v>
      </c>
      <c r="G29" s="28" t="s">
        <v>588</v>
      </c>
      <c r="H29" s="28">
        <v>3300</v>
      </c>
      <c r="I29" s="28">
        <v>2700</v>
      </c>
      <c r="J29" s="28" t="s">
        <v>388</v>
      </c>
      <c r="K29" s="28" t="s">
        <v>100</v>
      </c>
      <c r="L29" s="29">
        <v>1900</v>
      </c>
      <c r="M29" s="24" t="s">
        <v>654</v>
      </c>
      <c r="N29" s="45"/>
    </row>
    <row r="30" spans="1:14" x14ac:dyDescent="0.25">
      <c r="A30" s="28">
        <v>28</v>
      </c>
      <c r="B30" s="28" t="str">
        <f t="shared" si="0"/>
        <v>011100</v>
      </c>
      <c r="C30" s="30" t="s">
        <v>94</v>
      </c>
      <c r="D30" s="30" t="s">
        <v>102</v>
      </c>
      <c r="E30" s="30" t="s">
        <v>656</v>
      </c>
      <c r="F30" s="30" t="s">
        <v>628</v>
      </c>
      <c r="G30" s="30" t="s">
        <v>584</v>
      </c>
      <c r="H30" s="30">
        <v>3500</v>
      </c>
      <c r="I30" s="30">
        <v>2100</v>
      </c>
      <c r="J30" s="30" t="s">
        <v>395</v>
      </c>
      <c r="K30" s="30" t="s">
        <v>100</v>
      </c>
      <c r="L30" s="31">
        <v>1000</v>
      </c>
      <c r="M30" s="2" t="s">
        <v>657</v>
      </c>
      <c r="N30" s="42" t="s">
        <v>655</v>
      </c>
    </row>
    <row r="31" spans="1:14" x14ac:dyDescent="0.25">
      <c r="A31" s="28">
        <v>29</v>
      </c>
      <c r="B31" s="28" t="str">
        <f t="shared" si="0"/>
        <v>011101</v>
      </c>
      <c r="C31" s="30" t="s">
        <v>109</v>
      </c>
      <c r="D31" s="30" t="s">
        <v>102</v>
      </c>
      <c r="E31" s="30" t="s">
        <v>656</v>
      </c>
      <c r="F31" s="30" t="s">
        <v>628</v>
      </c>
      <c r="G31" s="30" t="s">
        <v>588</v>
      </c>
      <c r="H31" s="30">
        <v>3500</v>
      </c>
      <c r="I31" s="30">
        <v>2800</v>
      </c>
      <c r="J31" s="30" t="s">
        <v>395</v>
      </c>
      <c r="K31" s="30" t="s">
        <v>100</v>
      </c>
      <c r="L31" s="31">
        <v>1800</v>
      </c>
      <c r="M31" s="2" t="s">
        <v>658</v>
      </c>
      <c r="N31" s="42"/>
    </row>
    <row r="32" spans="1:14" x14ac:dyDescent="0.25">
      <c r="A32" s="28">
        <v>30</v>
      </c>
      <c r="B32" s="28" t="str">
        <f t="shared" si="0"/>
        <v>011110</v>
      </c>
      <c r="C32" s="30" t="s">
        <v>109</v>
      </c>
      <c r="D32" s="30" t="s">
        <v>152</v>
      </c>
      <c r="E32" s="30" t="s">
        <v>659</v>
      </c>
      <c r="F32" s="30" t="s">
        <v>628</v>
      </c>
      <c r="G32" s="30" t="s">
        <v>584</v>
      </c>
      <c r="H32" s="30">
        <v>5000</v>
      </c>
      <c r="I32" s="30">
        <v>3600</v>
      </c>
      <c r="J32" s="30" t="s">
        <v>395</v>
      </c>
      <c r="K32" s="30" t="s">
        <v>104</v>
      </c>
      <c r="L32" s="31">
        <v>1100</v>
      </c>
      <c r="M32" s="2" t="s">
        <v>660</v>
      </c>
      <c r="N32" s="42"/>
    </row>
    <row r="33" spans="1:14" x14ac:dyDescent="0.25">
      <c r="A33" s="28">
        <v>31</v>
      </c>
      <c r="B33" s="28" t="str">
        <f t="shared" si="0"/>
        <v>011111</v>
      </c>
      <c r="C33" s="30" t="s">
        <v>116</v>
      </c>
      <c r="D33" s="30" t="s">
        <v>152</v>
      </c>
      <c r="E33" s="30" t="s">
        <v>659</v>
      </c>
      <c r="F33" s="30" t="s">
        <v>628</v>
      </c>
      <c r="G33" s="30" t="s">
        <v>588</v>
      </c>
      <c r="H33" s="30">
        <v>5000</v>
      </c>
      <c r="I33" s="30">
        <v>4200</v>
      </c>
      <c r="J33" s="30" t="s">
        <v>395</v>
      </c>
      <c r="K33" s="30" t="s">
        <v>104</v>
      </c>
      <c r="L33" s="31">
        <v>1900</v>
      </c>
      <c r="M33" s="2" t="s">
        <v>661</v>
      </c>
      <c r="N33" s="42"/>
    </row>
    <row r="34" spans="1:14" x14ac:dyDescent="0.25">
      <c r="A34" s="28">
        <v>32</v>
      </c>
      <c r="B34" s="28" t="str">
        <f t="shared" si="0"/>
        <v>100000</v>
      </c>
      <c r="C34" s="30" t="s">
        <v>116</v>
      </c>
      <c r="D34" s="30" t="s">
        <v>95</v>
      </c>
      <c r="E34" s="30" t="s">
        <v>662</v>
      </c>
      <c r="F34" s="30" t="s">
        <v>628</v>
      </c>
      <c r="G34" s="30" t="s">
        <v>584</v>
      </c>
      <c r="H34" s="30">
        <v>5000</v>
      </c>
      <c r="I34" s="30">
        <v>4500</v>
      </c>
      <c r="J34" s="30" t="s">
        <v>395</v>
      </c>
      <c r="K34" s="30" t="s">
        <v>104</v>
      </c>
      <c r="L34" s="31">
        <v>1100</v>
      </c>
      <c r="M34" s="2" t="s">
        <v>663</v>
      </c>
      <c r="N34" s="42"/>
    </row>
    <row r="35" spans="1:14" x14ac:dyDescent="0.25">
      <c r="A35" s="28">
        <v>33</v>
      </c>
      <c r="B35" s="28" t="str">
        <f t="shared" si="0"/>
        <v>100001</v>
      </c>
      <c r="C35" s="30" t="s">
        <v>288</v>
      </c>
      <c r="D35" s="30" t="s">
        <v>95</v>
      </c>
      <c r="E35" s="30" t="s">
        <v>662</v>
      </c>
      <c r="F35" s="30" t="s">
        <v>628</v>
      </c>
      <c r="G35" s="30" t="s">
        <v>588</v>
      </c>
      <c r="H35" s="30">
        <v>5000</v>
      </c>
      <c r="I35" s="30">
        <v>4500</v>
      </c>
      <c r="J35" s="30" t="s">
        <v>395</v>
      </c>
      <c r="K35" s="30" t="s">
        <v>104</v>
      </c>
      <c r="L35" s="31">
        <v>1950</v>
      </c>
      <c r="M35" s="2" t="s">
        <v>664</v>
      </c>
      <c r="N35" s="42"/>
    </row>
    <row r="36" spans="1:14" x14ac:dyDescent="0.25">
      <c r="A36" s="28">
        <v>34</v>
      </c>
      <c r="B36" s="28" t="str">
        <f t="shared" si="0"/>
        <v>100010</v>
      </c>
      <c r="C36" s="28" t="s">
        <v>109</v>
      </c>
      <c r="D36" s="28" t="s">
        <v>591</v>
      </c>
      <c r="E36" s="28" t="s">
        <v>666</v>
      </c>
      <c r="F36" s="28" t="s">
        <v>628</v>
      </c>
      <c r="G36" s="28" t="s">
        <v>584</v>
      </c>
      <c r="H36" s="28">
        <v>4150</v>
      </c>
      <c r="I36" s="28">
        <v>4150</v>
      </c>
      <c r="J36" s="28" t="s">
        <v>395</v>
      </c>
      <c r="K36" s="28" t="s">
        <v>104</v>
      </c>
      <c r="L36" s="29">
        <v>1150</v>
      </c>
      <c r="M36" s="24" t="s">
        <v>667</v>
      </c>
      <c r="N36" s="45" t="s">
        <v>665</v>
      </c>
    </row>
    <row r="37" spans="1:14" x14ac:dyDescent="0.25">
      <c r="A37" s="28">
        <v>35</v>
      </c>
      <c r="B37" s="28" t="str">
        <f t="shared" si="0"/>
        <v>100011</v>
      </c>
      <c r="C37" s="28" t="s">
        <v>116</v>
      </c>
      <c r="D37" s="28" t="s">
        <v>591</v>
      </c>
      <c r="E37" s="28" t="s">
        <v>666</v>
      </c>
      <c r="F37" s="28" t="s">
        <v>628</v>
      </c>
      <c r="G37" s="28" t="s">
        <v>588</v>
      </c>
      <c r="H37" s="28">
        <v>4150</v>
      </c>
      <c r="I37" s="28">
        <v>4150</v>
      </c>
      <c r="J37" s="28" t="s">
        <v>395</v>
      </c>
      <c r="K37" s="28" t="s">
        <v>104</v>
      </c>
      <c r="L37" s="29">
        <v>2000</v>
      </c>
      <c r="M37" s="24" t="s">
        <v>668</v>
      </c>
      <c r="N37" s="45"/>
    </row>
    <row r="38" spans="1:14" x14ac:dyDescent="0.25">
      <c r="A38" s="28">
        <v>36</v>
      </c>
      <c r="B38" s="28" t="str">
        <f t="shared" si="0"/>
        <v>100100</v>
      </c>
      <c r="C38" s="28" t="s">
        <v>116</v>
      </c>
      <c r="D38" s="28" t="s">
        <v>110</v>
      </c>
      <c r="E38" s="28" t="s">
        <v>669</v>
      </c>
      <c r="F38" s="28" t="s">
        <v>628</v>
      </c>
      <c r="G38" s="28" t="s">
        <v>584</v>
      </c>
      <c r="H38" s="28">
        <v>5000</v>
      </c>
      <c r="I38" s="28">
        <v>4500</v>
      </c>
      <c r="J38" s="28" t="s">
        <v>395</v>
      </c>
      <c r="K38" s="28" t="s">
        <v>100</v>
      </c>
      <c r="L38" s="29">
        <v>1200</v>
      </c>
      <c r="M38" s="24" t="s">
        <v>670</v>
      </c>
      <c r="N38" s="45"/>
    </row>
    <row r="39" spans="1:14" x14ac:dyDescent="0.25">
      <c r="A39" s="28">
        <v>37</v>
      </c>
      <c r="B39" s="28" t="str">
        <f t="shared" si="0"/>
        <v>100101</v>
      </c>
      <c r="C39" s="28" t="s">
        <v>288</v>
      </c>
      <c r="D39" s="28" t="s">
        <v>110</v>
      </c>
      <c r="E39" s="28" t="s">
        <v>669</v>
      </c>
      <c r="F39" s="28" t="s">
        <v>628</v>
      </c>
      <c r="G39" s="28" t="s">
        <v>588</v>
      </c>
      <c r="H39" s="28">
        <v>5000</v>
      </c>
      <c r="I39" s="28">
        <v>4500</v>
      </c>
      <c r="J39" s="28" t="s">
        <v>395</v>
      </c>
      <c r="K39" s="28" t="s">
        <v>100</v>
      </c>
      <c r="L39" s="29">
        <v>2100</v>
      </c>
      <c r="M39" s="24" t="s">
        <v>671</v>
      </c>
      <c r="N39" s="45"/>
    </row>
    <row r="40" spans="1:14" x14ac:dyDescent="0.25">
      <c r="A40" s="28">
        <v>38</v>
      </c>
      <c r="B40" s="28" t="str">
        <f t="shared" si="0"/>
        <v>100110</v>
      </c>
      <c r="C40" s="30" t="s">
        <v>116</v>
      </c>
      <c r="D40" s="30" t="s">
        <v>152</v>
      </c>
      <c r="E40" s="30" t="s">
        <v>673</v>
      </c>
      <c r="F40" s="30" t="s">
        <v>628</v>
      </c>
      <c r="G40" s="30" t="s">
        <v>584</v>
      </c>
      <c r="H40" s="30">
        <v>6600</v>
      </c>
      <c r="I40" s="30">
        <v>5000</v>
      </c>
      <c r="J40" s="30" t="s">
        <v>395</v>
      </c>
      <c r="K40" s="30" t="s">
        <v>104</v>
      </c>
      <c r="L40" s="31">
        <v>1350</v>
      </c>
      <c r="M40" s="2" t="s">
        <v>674</v>
      </c>
      <c r="N40" s="42" t="s">
        <v>672</v>
      </c>
    </row>
    <row r="41" spans="1:14" x14ac:dyDescent="0.25">
      <c r="A41" s="28">
        <v>39</v>
      </c>
      <c r="B41" s="28" t="str">
        <f t="shared" si="0"/>
        <v>100111</v>
      </c>
      <c r="C41" s="30" t="s">
        <v>109</v>
      </c>
      <c r="D41" s="30" t="s">
        <v>102</v>
      </c>
      <c r="E41" s="30" t="s">
        <v>675</v>
      </c>
      <c r="F41" s="30" t="s">
        <v>628</v>
      </c>
      <c r="G41" s="30" t="s">
        <v>584</v>
      </c>
      <c r="H41" s="30">
        <v>7000</v>
      </c>
      <c r="I41" s="30">
        <v>6000</v>
      </c>
      <c r="J41" s="30" t="s">
        <v>395</v>
      </c>
      <c r="K41" s="30" t="s">
        <v>104</v>
      </c>
      <c r="L41" s="31">
        <v>1450</v>
      </c>
      <c r="M41" s="2" t="s">
        <v>676</v>
      </c>
      <c r="N41" s="42"/>
    </row>
    <row r="42" spans="1:14" x14ac:dyDescent="0.25">
      <c r="A42" s="28">
        <v>40</v>
      </c>
      <c r="B42" s="28" t="str">
        <f t="shared" si="0"/>
        <v>101000</v>
      </c>
      <c r="C42" s="30" t="s">
        <v>116</v>
      </c>
      <c r="D42" s="30" t="s">
        <v>102</v>
      </c>
      <c r="E42" s="30" t="s">
        <v>675</v>
      </c>
      <c r="F42" s="30" t="s">
        <v>628</v>
      </c>
      <c r="G42" s="30" t="s">
        <v>588</v>
      </c>
      <c r="H42" s="30">
        <v>7000</v>
      </c>
      <c r="I42" s="30">
        <v>7000</v>
      </c>
      <c r="J42" s="30" t="s">
        <v>395</v>
      </c>
      <c r="K42" s="30" t="s">
        <v>104</v>
      </c>
      <c r="L42" s="31">
        <v>2600</v>
      </c>
      <c r="M42" s="2" t="s">
        <v>677</v>
      </c>
      <c r="N42" s="42"/>
    </row>
    <row r="43" spans="1:14" x14ac:dyDescent="0.25">
      <c r="A43" s="28">
        <v>41</v>
      </c>
      <c r="B43" s="28" t="str">
        <f t="shared" si="0"/>
        <v>101001</v>
      </c>
      <c r="C43" s="30" t="s">
        <v>109</v>
      </c>
      <c r="D43" s="30" t="s">
        <v>591</v>
      </c>
      <c r="E43" s="30" t="s">
        <v>678</v>
      </c>
      <c r="F43" s="30" t="s">
        <v>628</v>
      </c>
      <c r="G43" s="30" t="s">
        <v>584</v>
      </c>
      <c r="H43" s="30">
        <v>7300</v>
      </c>
      <c r="I43" s="30">
        <v>6300</v>
      </c>
      <c r="J43" s="30" t="s">
        <v>395</v>
      </c>
      <c r="K43" s="30" t="s">
        <v>104</v>
      </c>
      <c r="L43" s="31">
        <v>1600</v>
      </c>
      <c r="M43" s="2" t="s">
        <v>679</v>
      </c>
      <c r="N43" s="42"/>
    </row>
    <row r="44" spans="1:14" x14ac:dyDescent="0.25">
      <c r="A44" s="28">
        <v>42</v>
      </c>
      <c r="B44" s="28" t="str">
        <f t="shared" si="0"/>
        <v>101010</v>
      </c>
      <c r="C44" s="30" t="s">
        <v>116</v>
      </c>
      <c r="D44" s="30" t="s">
        <v>591</v>
      </c>
      <c r="E44" s="30" t="s">
        <v>678</v>
      </c>
      <c r="F44" s="30" t="s">
        <v>628</v>
      </c>
      <c r="G44" s="30" t="s">
        <v>588</v>
      </c>
      <c r="H44" s="30">
        <v>7300</v>
      </c>
      <c r="I44" s="30">
        <v>6600</v>
      </c>
      <c r="J44" s="30" t="s">
        <v>395</v>
      </c>
      <c r="K44" s="30" t="s">
        <v>104</v>
      </c>
      <c r="L44" s="31">
        <v>2900</v>
      </c>
      <c r="M44" s="2" t="s">
        <v>680</v>
      </c>
      <c r="N44" s="42"/>
    </row>
    <row r="45" spans="1:14" x14ac:dyDescent="0.25">
      <c r="A45" s="28">
        <v>43</v>
      </c>
      <c r="B45" s="28" t="str">
        <f t="shared" si="0"/>
        <v>101011</v>
      </c>
      <c r="C45" s="30" t="s">
        <v>109</v>
      </c>
      <c r="D45" s="30" t="s">
        <v>623</v>
      </c>
      <c r="E45" s="30" t="s">
        <v>681</v>
      </c>
      <c r="F45" s="30" t="s">
        <v>628</v>
      </c>
      <c r="G45" s="30" t="s">
        <v>584</v>
      </c>
      <c r="H45" s="30">
        <v>7000</v>
      </c>
      <c r="I45" s="30">
        <v>5000</v>
      </c>
      <c r="J45" s="30" t="s">
        <v>395</v>
      </c>
      <c r="K45" s="30" t="s">
        <v>100</v>
      </c>
      <c r="L45" s="31">
        <v>1500</v>
      </c>
      <c r="M45" s="2" t="s">
        <v>682</v>
      </c>
      <c r="N45" s="42"/>
    </row>
    <row r="46" spans="1:14" x14ac:dyDescent="0.25">
      <c r="A46" s="28">
        <v>44</v>
      </c>
      <c r="B46" s="28" t="str">
        <f t="shared" si="0"/>
        <v>101100</v>
      </c>
      <c r="C46" s="30" t="s">
        <v>116</v>
      </c>
      <c r="D46" s="30" t="s">
        <v>623</v>
      </c>
      <c r="E46" s="30" t="s">
        <v>681</v>
      </c>
      <c r="F46" s="30" t="s">
        <v>628</v>
      </c>
      <c r="G46" s="30" t="s">
        <v>588</v>
      </c>
      <c r="H46" s="30">
        <v>7000</v>
      </c>
      <c r="I46" s="30">
        <v>5100</v>
      </c>
      <c r="J46" s="30" t="s">
        <v>395</v>
      </c>
      <c r="K46" s="30" t="s">
        <v>100</v>
      </c>
      <c r="L46" s="31">
        <v>2700</v>
      </c>
      <c r="M46" s="2" t="s">
        <v>683</v>
      </c>
      <c r="N46" s="42"/>
    </row>
    <row r="47" spans="1:14" x14ac:dyDescent="0.25">
      <c r="A47" s="28">
        <v>45</v>
      </c>
      <c r="B47" s="28" t="str">
        <f t="shared" si="0"/>
        <v>101101</v>
      </c>
      <c r="C47" s="30" t="s">
        <v>109</v>
      </c>
      <c r="D47" s="30" t="s">
        <v>623</v>
      </c>
      <c r="E47" s="30" t="s">
        <v>684</v>
      </c>
      <c r="F47" s="30" t="s">
        <v>628</v>
      </c>
      <c r="G47" s="30" t="s">
        <v>584</v>
      </c>
      <c r="H47" s="30">
        <v>7450</v>
      </c>
      <c r="I47" s="30">
        <v>6900</v>
      </c>
      <c r="J47" s="30" t="s">
        <v>395</v>
      </c>
      <c r="K47" s="30" t="s">
        <v>104</v>
      </c>
      <c r="L47" s="31">
        <v>1750</v>
      </c>
      <c r="M47" s="2" t="s">
        <v>685</v>
      </c>
      <c r="N47" s="42"/>
    </row>
    <row r="48" spans="1:14" x14ac:dyDescent="0.25">
      <c r="A48" s="28">
        <v>46</v>
      </c>
      <c r="B48" s="28" t="str">
        <f t="shared" si="0"/>
        <v>101110</v>
      </c>
      <c r="C48" s="30" t="s">
        <v>116</v>
      </c>
      <c r="D48" s="30" t="s">
        <v>623</v>
      </c>
      <c r="E48" s="30" t="s">
        <v>684</v>
      </c>
      <c r="F48" s="30" t="s">
        <v>628</v>
      </c>
      <c r="G48" s="30" t="s">
        <v>588</v>
      </c>
      <c r="H48" s="30">
        <v>7450</v>
      </c>
      <c r="I48" s="30">
        <v>6900</v>
      </c>
      <c r="J48" s="30" t="s">
        <v>395</v>
      </c>
      <c r="K48" s="30" t="s">
        <v>104</v>
      </c>
      <c r="L48" s="31">
        <v>3100</v>
      </c>
      <c r="M48" s="2" t="s">
        <v>686</v>
      </c>
      <c r="N48" s="42"/>
    </row>
    <row r="49" spans="1:14" x14ac:dyDescent="0.25">
      <c r="A49" s="28">
        <v>47</v>
      </c>
      <c r="B49" s="28" t="str">
        <f t="shared" si="0"/>
        <v>101111</v>
      </c>
      <c r="C49" s="30" t="s">
        <v>116</v>
      </c>
      <c r="D49" s="30" t="s">
        <v>581</v>
      </c>
      <c r="E49" s="30" t="s">
        <v>687</v>
      </c>
      <c r="F49" s="30" t="s">
        <v>628</v>
      </c>
      <c r="G49" s="30" t="s">
        <v>584</v>
      </c>
      <c r="H49" s="30">
        <v>7300</v>
      </c>
      <c r="I49" s="30">
        <v>6000</v>
      </c>
      <c r="J49" s="30" t="s">
        <v>395</v>
      </c>
      <c r="K49" s="30" t="s">
        <v>104</v>
      </c>
      <c r="L49" s="31">
        <v>1700</v>
      </c>
      <c r="M49" s="2" t="s">
        <v>688</v>
      </c>
      <c r="N49" s="42"/>
    </row>
    <row r="50" spans="1:14" x14ac:dyDescent="0.25">
      <c r="A50" s="28">
        <v>48</v>
      </c>
      <c r="B50" s="28" t="str">
        <f t="shared" si="0"/>
        <v>110000</v>
      </c>
      <c r="C50" s="30" t="s">
        <v>116</v>
      </c>
      <c r="D50" s="30" t="s">
        <v>648</v>
      </c>
      <c r="E50" s="30" t="s">
        <v>689</v>
      </c>
      <c r="F50" s="30" t="s">
        <v>628</v>
      </c>
      <c r="G50" s="30" t="s">
        <v>584</v>
      </c>
      <c r="H50" s="30">
        <v>7400</v>
      </c>
      <c r="I50" s="30">
        <v>6400</v>
      </c>
      <c r="J50" s="30" t="s">
        <v>395</v>
      </c>
      <c r="K50" s="30" t="s">
        <v>100</v>
      </c>
      <c r="L50" s="31">
        <v>1550</v>
      </c>
      <c r="M50" s="2" t="s">
        <v>690</v>
      </c>
      <c r="N50" s="42"/>
    </row>
    <row r="51" spans="1:14" x14ac:dyDescent="0.25">
      <c r="A51" s="28">
        <v>49</v>
      </c>
      <c r="B51" s="28" t="str">
        <f t="shared" si="0"/>
        <v>110001</v>
      </c>
      <c r="C51" s="30" t="s">
        <v>116</v>
      </c>
      <c r="D51" s="30" t="s">
        <v>102</v>
      </c>
      <c r="E51" s="30" t="s">
        <v>691</v>
      </c>
      <c r="F51" s="30" t="s">
        <v>628</v>
      </c>
      <c r="G51" s="30" t="s">
        <v>584</v>
      </c>
      <c r="H51" s="30">
        <v>7300</v>
      </c>
      <c r="I51" s="30">
        <v>6000</v>
      </c>
      <c r="J51" s="30" t="s">
        <v>395</v>
      </c>
      <c r="K51" s="30" t="s">
        <v>104</v>
      </c>
      <c r="L51" s="31">
        <v>1500</v>
      </c>
      <c r="M51" s="2" t="s">
        <v>692</v>
      </c>
      <c r="N51" s="42"/>
    </row>
    <row r="52" spans="1:14" x14ac:dyDescent="0.25">
      <c r="A52" s="28">
        <v>50</v>
      </c>
      <c r="B52" s="28" t="str">
        <f t="shared" si="0"/>
        <v>110010</v>
      </c>
      <c r="C52" s="30" t="s">
        <v>288</v>
      </c>
      <c r="D52" s="30" t="s">
        <v>102</v>
      </c>
      <c r="E52" s="30" t="s">
        <v>691</v>
      </c>
      <c r="F52" s="30" t="s">
        <v>628</v>
      </c>
      <c r="G52" s="30" t="s">
        <v>588</v>
      </c>
      <c r="H52" s="30">
        <v>7300</v>
      </c>
      <c r="I52" s="30">
        <v>7000</v>
      </c>
      <c r="J52" s="30" t="s">
        <v>395</v>
      </c>
      <c r="K52" s="30" t="s">
        <v>104</v>
      </c>
      <c r="L52" s="31">
        <v>2750</v>
      </c>
      <c r="M52" s="2" t="s">
        <v>693</v>
      </c>
      <c r="N52" s="42"/>
    </row>
    <row r="53" spans="1:14" x14ac:dyDescent="0.25">
      <c r="A53" s="28">
        <v>51</v>
      </c>
      <c r="B53" s="28" t="str">
        <f t="shared" si="0"/>
        <v>110011</v>
      </c>
      <c r="C53" s="30" t="s">
        <v>288</v>
      </c>
      <c r="D53" s="30" t="s">
        <v>110</v>
      </c>
      <c r="E53" s="30" t="s">
        <v>694</v>
      </c>
      <c r="F53" s="30" t="s">
        <v>628</v>
      </c>
      <c r="G53" s="30" t="s">
        <v>584</v>
      </c>
      <c r="H53" s="30">
        <v>7400</v>
      </c>
      <c r="I53" s="30">
        <v>6000</v>
      </c>
      <c r="J53" s="30" t="s">
        <v>395</v>
      </c>
      <c r="K53" s="30" t="s">
        <v>104</v>
      </c>
      <c r="L53" s="31">
        <v>1650</v>
      </c>
      <c r="M53" s="2" t="s">
        <v>695</v>
      </c>
      <c r="N53" s="42"/>
    </row>
    <row r="54" spans="1:14" x14ac:dyDescent="0.25">
      <c r="A54" s="28">
        <v>52</v>
      </c>
      <c r="B54" s="28" t="str">
        <f t="shared" si="0"/>
        <v>110100</v>
      </c>
      <c r="C54" s="28" t="s">
        <v>440</v>
      </c>
      <c r="D54" s="28" t="s">
        <v>152</v>
      </c>
      <c r="E54" s="28" t="s">
        <v>697</v>
      </c>
      <c r="F54" s="28" t="s">
        <v>628</v>
      </c>
      <c r="G54" s="28" t="s">
        <v>584</v>
      </c>
      <c r="H54" s="28">
        <v>11700</v>
      </c>
      <c r="I54" s="28">
        <v>9500</v>
      </c>
      <c r="J54" s="28" t="s">
        <v>698</v>
      </c>
      <c r="K54" s="28" t="s">
        <v>104</v>
      </c>
      <c r="L54" s="29">
        <v>3200</v>
      </c>
      <c r="M54" s="24" t="s">
        <v>699</v>
      </c>
      <c r="N54" s="45" t="s">
        <v>696</v>
      </c>
    </row>
    <row r="55" spans="1:14" x14ac:dyDescent="0.25">
      <c r="A55" s="28">
        <v>53</v>
      </c>
      <c r="B55" s="28" t="str">
        <f t="shared" si="0"/>
        <v>110101</v>
      </c>
      <c r="C55" s="28" t="s">
        <v>440</v>
      </c>
      <c r="D55" s="28" t="s">
        <v>152</v>
      </c>
      <c r="E55" s="28" t="s">
        <v>697</v>
      </c>
      <c r="F55" s="28" t="s">
        <v>628</v>
      </c>
      <c r="G55" s="28" t="s">
        <v>588</v>
      </c>
      <c r="H55" s="28">
        <v>12400</v>
      </c>
      <c r="I55" s="28">
        <v>11800</v>
      </c>
      <c r="J55" s="28" t="s">
        <v>698</v>
      </c>
      <c r="K55" s="28" t="s">
        <v>104</v>
      </c>
      <c r="L55" s="29">
        <v>5500</v>
      </c>
      <c r="M55" s="24" t="s">
        <v>700</v>
      </c>
      <c r="N55" s="45"/>
    </row>
    <row r="56" spans="1:14" x14ac:dyDescent="0.25">
      <c r="A56" s="28">
        <v>54</v>
      </c>
      <c r="B56" s="28" t="str">
        <f t="shared" si="0"/>
        <v>110110</v>
      </c>
      <c r="C56" s="28" t="s">
        <v>440</v>
      </c>
      <c r="D56" s="28" t="s">
        <v>581</v>
      </c>
      <c r="E56" s="28" t="s">
        <v>701</v>
      </c>
      <c r="F56" s="28" t="s">
        <v>628</v>
      </c>
      <c r="G56" s="28" t="s">
        <v>584</v>
      </c>
      <c r="H56" s="28">
        <v>10000</v>
      </c>
      <c r="I56" s="28">
        <v>10000</v>
      </c>
      <c r="J56" s="28" t="s">
        <v>698</v>
      </c>
      <c r="K56" s="28" t="s">
        <v>104</v>
      </c>
      <c r="L56" s="29">
        <v>3500</v>
      </c>
      <c r="M56" s="24" t="s">
        <v>702</v>
      </c>
      <c r="N56" s="45"/>
    </row>
    <row r="57" spans="1:14" x14ac:dyDescent="0.25">
      <c r="A57" s="28">
        <v>55</v>
      </c>
      <c r="B57" s="28" t="str">
        <f t="shared" si="0"/>
        <v>110111</v>
      </c>
      <c r="C57" s="28" t="s">
        <v>440</v>
      </c>
      <c r="D57" s="28" t="s">
        <v>275</v>
      </c>
      <c r="E57" s="28" t="s">
        <v>703</v>
      </c>
      <c r="F57" s="28" t="s">
        <v>628</v>
      </c>
      <c r="G57" s="28" t="s">
        <v>584</v>
      </c>
      <c r="H57" s="28">
        <v>10000</v>
      </c>
      <c r="I57" s="28">
        <v>9500</v>
      </c>
      <c r="J57" s="28" t="s">
        <v>698</v>
      </c>
      <c r="K57" s="28" t="s">
        <v>100</v>
      </c>
      <c r="L57" s="29">
        <v>3600</v>
      </c>
      <c r="M57" s="24" t="s">
        <v>704</v>
      </c>
      <c r="N57" s="45"/>
    </row>
  </sheetData>
  <mergeCells count="9">
    <mergeCell ref="N36:N39"/>
    <mergeCell ref="N40:N53"/>
    <mergeCell ref="N54:N57"/>
    <mergeCell ref="N2:N7"/>
    <mergeCell ref="N8:N10"/>
    <mergeCell ref="N11:N17"/>
    <mergeCell ref="N18:N23"/>
    <mergeCell ref="N24:N29"/>
    <mergeCell ref="N30:N35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43BDC-EFF8-4B01-A237-A4A1C9830281}">
  <dimension ref="A1:N26"/>
  <sheetViews>
    <sheetView zoomScale="70" zoomScaleNormal="70" workbookViewId="0">
      <selection activeCell="K1" sqref="K1:L1"/>
    </sheetView>
  </sheetViews>
  <sheetFormatPr baseColWidth="10" defaultRowHeight="15" x14ac:dyDescent="0.25"/>
  <cols>
    <col min="1" max="1" width="8.140625" bestFit="1" customWidth="1"/>
    <col min="2" max="2" width="15.140625" bestFit="1" customWidth="1"/>
    <col min="3" max="3" width="20.85546875" bestFit="1" customWidth="1"/>
    <col min="4" max="4" width="14.140625" bestFit="1" customWidth="1"/>
    <col min="5" max="5" width="37.28515625" bestFit="1" customWidth="1"/>
    <col min="6" max="6" width="17.7109375" bestFit="1" customWidth="1"/>
    <col min="7" max="7" width="27.5703125" bestFit="1" customWidth="1"/>
    <col min="8" max="8" width="24.5703125" bestFit="1" customWidth="1"/>
    <col min="9" max="9" width="36.5703125" bestFit="1" customWidth="1"/>
    <col min="10" max="10" width="17.85546875" bestFit="1" customWidth="1"/>
    <col min="11" max="11" width="26.5703125" bestFit="1" customWidth="1"/>
    <col min="12" max="12" width="24.28515625" customWidth="1"/>
    <col min="13" max="13" width="99.42578125" bestFit="1" customWidth="1"/>
    <col min="14" max="14" width="29.5703125" bestFit="1" customWidth="1"/>
  </cols>
  <sheetData>
    <row r="1" spans="1:14" x14ac:dyDescent="0.25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85</v>
      </c>
      <c r="G1" s="22" t="s">
        <v>717</v>
      </c>
      <c r="H1" s="22" t="s">
        <v>718</v>
      </c>
      <c r="I1" s="22" t="s">
        <v>719</v>
      </c>
      <c r="J1" s="22" t="s">
        <v>720</v>
      </c>
      <c r="K1" s="22" t="s">
        <v>91</v>
      </c>
      <c r="L1" s="22" t="s">
        <v>90</v>
      </c>
      <c r="M1" s="22" t="s">
        <v>579</v>
      </c>
      <c r="N1" s="4"/>
    </row>
    <row r="2" spans="1:14" x14ac:dyDescent="0.25">
      <c r="A2" s="16">
        <v>0</v>
      </c>
      <c r="B2" s="16" t="str">
        <f>TEXT(DEC2BIN(A2,6),"000000")</f>
        <v>000000</v>
      </c>
      <c r="C2" s="14" t="s">
        <v>94</v>
      </c>
      <c r="D2" s="14" t="s">
        <v>484</v>
      </c>
      <c r="E2" s="26" t="s">
        <v>721</v>
      </c>
      <c r="F2" s="14" t="s">
        <v>722</v>
      </c>
      <c r="G2" s="14" t="s">
        <v>723</v>
      </c>
      <c r="H2" s="14" t="s">
        <v>724</v>
      </c>
      <c r="I2" s="14" t="s">
        <v>725</v>
      </c>
      <c r="J2" s="14" t="s">
        <v>14</v>
      </c>
      <c r="K2" s="14" t="s">
        <v>384</v>
      </c>
      <c r="L2" s="15">
        <v>0</v>
      </c>
      <c r="M2" s="26" t="s">
        <v>726</v>
      </c>
      <c r="N2" s="7"/>
    </row>
    <row r="3" spans="1:14" x14ac:dyDescent="0.25">
      <c r="A3" s="16">
        <v>1</v>
      </c>
      <c r="B3" s="16" t="str">
        <f t="shared" ref="B3:B26" si="0">TEXT(DEC2BIN(A3,6),"000000")</f>
        <v>000001</v>
      </c>
      <c r="C3" s="16" t="s">
        <v>94</v>
      </c>
      <c r="D3" s="16" t="s">
        <v>728</v>
      </c>
      <c r="E3" s="16" t="s">
        <v>729</v>
      </c>
      <c r="F3" s="16" t="s">
        <v>730</v>
      </c>
      <c r="G3" s="16" t="s">
        <v>723</v>
      </c>
      <c r="H3" s="16" t="s">
        <v>731</v>
      </c>
      <c r="I3" s="16" t="s">
        <v>732</v>
      </c>
      <c r="J3" s="16" t="s">
        <v>733</v>
      </c>
      <c r="K3" s="16" t="s">
        <v>104</v>
      </c>
      <c r="L3" s="17">
        <v>400</v>
      </c>
      <c r="M3" s="16" t="s">
        <v>734</v>
      </c>
      <c r="N3" s="39" t="s">
        <v>727</v>
      </c>
    </row>
    <row r="4" spans="1:14" x14ac:dyDescent="0.25">
      <c r="A4" s="16">
        <v>2</v>
      </c>
      <c r="B4" s="16" t="str">
        <f t="shared" si="0"/>
        <v>000010</v>
      </c>
      <c r="C4" s="16" t="s">
        <v>109</v>
      </c>
      <c r="D4" s="16" t="s">
        <v>735</v>
      </c>
      <c r="E4" s="16" t="s">
        <v>736</v>
      </c>
      <c r="F4" s="16" t="s">
        <v>730</v>
      </c>
      <c r="G4" s="16" t="s">
        <v>723</v>
      </c>
      <c r="H4" s="16" t="s">
        <v>737</v>
      </c>
      <c r="I4" s="16" t="s">
        <v>732</v>
      </c>
      <c r="J4" s="16" t="s">
        <v>738</v>
      </c>
      <c r="K4" s="16" t="s">
        <v>100</v>
      </c>
      <c r="L4" s="17">
        <v>450</v>
      </c>
      <c r="M4" s="16" t="s">
        <v>739</v>
      </c>
      <c r="N4" s="39"/>
    </row>
    <row r="5" spans="1:14" x14ac:dyDescent="0.25">
      <c r="A5" s="16">
        <v>3</v>
      </c>
      <c r="B5" s="16" t="str">
        <f t="shared" si="0"/>
        <v>000011</v>
      </c>
      <c r="C5" s="16" t="s">
        <v>116</v>
      </c>
      <c r="D5" s="16" t="s">
        <v>740</v>
      </c>
      <c r="E5" s="16" t="s">
        <v>741</v>
      </c>
      <c r="F5" s="16" t="s">
        <v>730</v>
      </c>
      <c r="G5" s="16" t="s">
        <v>723</v>
      </c>
      <c r="H5" s="16" t="s">
        <v>742</v>
      </c>
      <c r="I5" s="16" t="s">
        <v>743</v>
      </c>
      <c r="J5" s="16" t="s">
        <v>733</v>
      </c>
      <c r="K5" s="16" t="s">
        <v>100</v>
      </c>
      <c r="L5" s="17">
        <v>350</v>
      </c>
      <c r="M5" s="16" t="s">
        <v>744</v>
      </c>
      <c r="N5" s="39"/>
    </row>
    <row r="6" spans="1:14" x14ac:dyDescent="0.25">
      <c r="A6" s="16">
        <v>4</v>
      </c>
      <c r="B6" s="16" t="str">
        <f t="shared" si="0"/>
        <v>000100</v>
      </c>
      <c r="C6" s="18" t="s">
        <v>94</v>
      </c>
      <c r="D6" s="18" t="s">
        <v>746</v>
      </c>
      <c r="E6" s="18" t="s">
        <v>747</v>
      </c>
      <c r="F6" s="18" t="s">
        <v>748</v>
      </c>
      <c r="G6" s="18" t="s">
        <v>723</v>
      </c>
      <c r="H6" s="18" t="s">
        <v>749</v>
      </c>
      <c r="I6" s="18" t="s">
        <v>750</v>
      </c>
      <c r="J6" s="18" t="s">
        <v>751</v>
      </c>
      <c r="K6" s="18" t="s">
        <v>104</v>
      </c>
      <c r="L6" s="19">
        <v>800</v>
      </c>
      <c r="M6" s="18" t="s">
        <v>752</v>
      </c>
      <c r="N6" s="46" t="s">
        <v>745</v>
      </c>
    </row>
    <row r="7" spans="1:14" x14ac:dyDescent="0.25">
      <c r="A7" s="16">
        <v>5</v>
      </c>
      <c r="B7" s="16" t="str">
        <f t="shared" si="0"/>
        <v>000101</v>
      </c>
      <c r="C7" s="18" t="s">
        <v>109</v>
      </c>
      <c r="D7" s="18" t="s">
        <v>728</v>
      </c>
      <c r="E7" s="18" t="s">
        <v>753</v>
      </c>
      <c r="F7" s="18" t="s">
        <v>730</v>
      </c>
      <c r="G7" s="18" t="s">
        <v>723</v>
      </c>
      <c r="H7" s="18" t="s">
        <v>754</v>
      </c>
      <c r="I7" s="18" t="s">
        <v>732</v>
      </c>
      <c r="J7" s="18" t="s">
        <v>733</v>
      </c>
      <c r="K7" s="18" t="s">
        <v>104</v>
      </c>
      <c r="L7" s="19">
        <v>650</v>
      </c>
      <c r="M7" s="18" t="s">
        <v>755</v>
      </c>
      <c r="N7" s="46"/>
    </row>
    <row r="8" spans="1:14" x14ac:dyDescent="0.25">
      <c r="A8" s="16">
        <v>6</v>
      </c>
      <c r="B8" s="16" t="str">
        <f t="shared" si="0"/>
        <v>000110</v>
      </c>
      <c r="C8" s="18" t="s">
        <v>109</v>
      </c>
      <c r="D8" s="18" t="s">
        <v>728</v>
      </c>
      <c r="E8" s="18" t="s">
        <v>756</v>
      </c>
      <c r="F8" s="18" t="s">
        <v>748</v>
      </c>
      <c r="G8" s="18" t="s">
        <v>723</v>
      </c>
      <c r="H8" s="18" t="s">
        <v>757</v>
      </c>
      <c r="I8" s="18" t="s">
        <v>750</v>
      </c>
      <c r="J8" s="18" t="s">
        <v>758</v>
      </c>
      <c r="K8" s="18" t="s">
        <v>104</v>
      </c>
      <c r="L8" s="19">
        <v>1100</v>
      </c>
      <c r="M8" s="18" t="s">
        <v>759</v>
      </c>
      <c r="N8" s="46"/>
    </row>
    <row r="9" spans="1:14" x14ac:dyDescent="0.25">
      <c r="A9" s="16">
        <v>7</v>
      </c>
      <c r="B9" s="16" t="str">
        <f t="shared" si="0"/>
        <v>000111</v>
      </c>
      <c r="C9" s="18" t="s">
        <v>116</v>
      </c>
      <c r="D9" s="18" t="s">
        <v>740</v>
      </c>
      <c r="E9" s="18" t="s">
        <v>760</v>
      </c>
      <c r="F9" s="18" t="s">
        <v>730</v>
      </c>
      <c r="G9" s="18" t="s">
        <v>723</v>
      </c>
      <c r="H9" s="18" t="s">
        <v>737</v>
      </c>
      <c r="I9" s="18" t="s">
        <v>732</v>
      </c>
      <c r="J9" s="18" t="s">
        <v>733</v>
      </c>
      <c r="K9" s="18" t="s">
        <v>104</v>
      </c>
      <c r="L9" s="19">
        <v>700</v>
      </c>
      <c r="M9" s="18" t="s">
        <v>761</v>
      </c>
      <c r="N9" s="46"/>
    </row>
    <row r="10" spans="1:14" x14ac:dyDescent="0.25">
      <c r="A10" s="16">
        <v>8</v>
      </c>
      <c r="B10" s="16" t="str">
        <f t="shared" si="0"/>
        <v>001000</v>
      </c>
      <c r="C10" s="18" t="s">
        <v>116</v>
      </c>
      <c r="D10" s="18" t="s">
        <v>746</v>
      </c>
      <c r="E10" s="18" t="s">
        <v>762</v>
      </c>
      <c r="F10" s="18" t="s">
        <v>748</v>
      </c>
      <c r="G10" s="18" t="s">
        <v>723</v>
      </c>
      <c r="H10" s="18" t="s">
        <v>763</v>
      </c>
      <c r="I10" s="18" t="s">
        <v>750</v>
      </c>
      <c r="J10" s="18" t="s">
        <v>751</v>
      </c>
      <c r="K10" s="18" t="s">
        <v>104</v>
      </c>
      <c r="L10" s="19">
        <v>900</v>
      </c>
      <c r="M10" s="18" t="s">
        <v>764</v>
      </c>
      <c r="N10" s="46"/>
    </row>
    <row r="11" spans="1:14" x14ac:dyDescent="0.25">
      <c r="A11" s="16">
        <v>9</v>
      </c>
      <c r="B11" s="16" t="str">
        <f t="shared" si="0"/>
        <v>001001</v>
      </c>
      <c r="C11" s="16" t="s">
        <v>116</v>
      </c>
      <c r="D11" s="16" t="s">
        <v>766</v>
      </c>
      <c r="E11" s="16" t="s">
        <v>767</v>
      </c>
      <c r="F11" s="16" t="s">
        <v>748</v>
      </c>
      <c r="G11" s="16" t="s">
        <v>723</v>
      </c>
      <c r="H11" s="16" t="s">
        <v>768</v>
      </c>
      <c r="I11" s="16" t="s">
        <v>769</v>
      </c>
      <c r="J11" s="16" t="s">
        <v>14</v>
      </c>
      <c r="K11" s="16" t="s">
        <v>104</v>
      </c>
      <c r="L11" s="17">
        <v>2200</v>
      </c>
      <c r="M11" s="16" t="s">
        <v>770</v>
      </c>
      <c r="N11" s="40" t="s">
        <v>765</v>
      </c>
    </row>
    <row r="12" spans="1:14" x14ac:dyDescent="0.25">
      <c r="A12" s="16">
        <v>10</v>
      </c>
      <c r="B12" s="16" t="str">
        <f t="shared" si="0"/>
        <v>001010</v>
      </c>
      <c r="C12" s="16" t="s">
        <v>116</v>
      </c>
      <c r="D12" s="16" t="s">
        <v>728</v>
      </c>
      <c r="E12" s="16" t="s">
        <v>771</v>
      </c>
      <c r="F12" s="16" t="s">
        <v>748</v>
      </c>
      <c r="G12" s="16" t="s">
        <v>723</v>
      </c>
      <c r="H12" s="16" t="s">
        <v>772</v>
      </c>
      <c r="I12" s="16" t="s">
        <v>773</v>
      </c>
      <c r="J12" s="16" t="s">
        <v>14</v>
      </c>
      <c r="K12" s="16" t="s">
        <v>104</v>
      </c>
      <c r="L12" s="17">
        <v>1800</v>
      </c>
      <c r="M12" s="16" t="s">
        <v>774</v>
      </c>
      <c r="N12" s="40"/>
    </row>
    <row r="13" spans="1:14" x14ac:dyDescent="0.25">
      <c r="A13" s="16">
        <v>11</v>
      </c>
      <c r="B13" s="16" t="str">
        <f t="shared" si="0"/>
        <v>001011</v>
      </c>
      <c r="C13" s="16" t="s">
        <v>288</v>
      </c>
      <c r="D13" s="16" t="s">
        <v>775</v>
      </c>
      <c r="E13" s="16" t="s">
        <v>776</v>
      </c>
      <c r="F13" s="16" t="s">
        <v>748</v>
      </c>
      <c r="G13" s="16" t="s">
        <v>723</v>
      </c>
      <c r="H13" s="16" t="s">
        <v>777</v>
      </c>
      <c r="I13" s="16" t="s">
        <v>778</v>
      </c>
      <c r="J13" s="16" t="s">
        <v>14</v>
      </c>
      <c r="K13" s="16" t="s">
        <v>104</v>
      </c>
      <c r="L13" s="17">
        <v>2000</v>
      </c>
      <c r="M13" s="16" t="s">
        <v>779</v>
      </c>
      <c r="N13" s="40"/>
    </row>
    <row r="14" spans="1:14" x14ac:dyDescent="0.25">
      <c r="A14" s="16">
        <v>12</v>
      </c>
      <c r="B14" s="16" t="str">
        <f t="shared" si="0"/>
        <v>001100</v>
      </c>
      <c r="C14" s="18" t="s">
        <v>440</v>
      </c>
      <c r="D14" s="18" t="s">
        <v>766</v>
      </c>
      <c r="E14" s="18" t="s">
        <v>781</v>
      </c>
      <c r="F14" s="18" t="s">
        <v>782</v>
      </c>
      <c r="G14" s="18" t="s">
        <v>783</v>
      </c>
      <c r="H14" s="18" t="s">
        <v>784</v>
      </c>
      <c r="I14" s="18" t="s">
        <v>743</v>
      </c>
      <c r="J14" s="18" t="s">
        <v>14</v>
      </c>
      <c r="K14" s="18" t="s">
        <v>104</v>
      </c>
      <c r="L14" s="19">
        <v>1000</v>
      </c>
      <c r="M14" s="18" t="s">
        <v>785</v>
      </c>
      <c r="N14" s="46" t="s">
        <v>780</v>
      </c>
    </row>
    <row r="15" spans="1:14" x14ac:dyDescent="0.25">
      <c r="A15" s="16">
        <v>13</v>
      </c>
      <c r="B15" s="16" t="str">
        <f t="shared" si="0"/>
        <v>001101</v>
      </c>
      <c r="C15" s="18" t="s">
        <v>440</v>
      </c>
      <c r="D15" s="18" t="s">
        <v>746</v>
      </c>
      <c r="E15" s="18" t="s">
        <v>786</v>
      </c>
      <c r="F15" s="18" t="s">
        <v>782</v>
      </c>
      <c r="G15" s="18" t="s">
        <v>723</v>
      </c>
      <c r="H15" s="18" t="s">
        <v>787</v>
      </c>
      <c r="I15" s="18" t="s">
        <v>743</v>
      </c>
      <c r="J15" s="18" t="s">
        <v>14</v>
      </c>
      <c r="K15" s="18" t="s">
        <v>104</v>
      </c>
      <c r="L15" s="19">
        <v>600</v>
      </c>
      <c r="M15" s="18" t="s">
        <v>788</v>
      </c>
      <c r="N15" s="46"/>
    </row>
    <row r="16" spans="1:14" x14ac:dyDescent="0.25">
      <c r="A16" s="16">
        <v>14</v>
      </c>
      <c r="B16" s="16" t="str">
        <f t="shared" si="0"/>
        <v>001110</v>
      </c>
      <c r="C16" s="16" t="s">
        <v>116</v>
      </c>
      <c r="D16" s="16" t="s">
        <v>740</v>
      </c>
      <c r="E16" s="16" t="s">
        <v>790</v>
      </c>
      <c r="F16" s="16" t="s">
        <v>791</v>
      </c>
      <c r="G16" s="16" t="s">
        <v>723</v>
      </c>
      <c r="H16" s="16" t="s">
        <v>731</v>
      </c>
      <c r="I16" s="16" t="s">
        <v>792</v>
      </c>
      <c r="J16" s="16" t="s">
        <v>793</v>
      </c>
      <c r="K16" s="16" t="s">
        <v>100</v>
      </c>
      <c r="L16" s="17">
        <v>1000</v>
      </c>
      <c r="M16" s="16" t="s">
        <v>794</v>
      </c>
      <c r="N16" s="47" t="s">
        <v>789</v>
      </c>
    </row>
    <row r="17" spans="1:14" x14ac:dyDescent="0.25">
      <c r="A17" s="16">
        <v>15</v>
      </c>
      <c r="B17" s="16" t="str">
        <f t="shared" si="0"/>
        <v>001111</v>
      </c>
      <c r="C17" s="16" t="s">
        <v>288</v>
      </c>
      <c r="D17" s="16" t="s">
        <v>728</v>
      </c>
      <c r="E17" s="16" t="s">
        <v>795</v>
      </c>
      <c r="F17" s="16" t="s">
        <v>791</v>
      </c>
      <c r="G17" s="16" t="s">
        <v>723</v>
      </c>
      <c r="H17" s="16" t="s">
        <v>731</v>
      </c>
      <c r="I17" s="16" t="s">
        <v>792</v>
      </c>
      <c r="J17" s="16" t="s">
        <v>793</v>
      </c>
      <c r="K17" s="16" t="s">
        <v>100</v>
      </c>
      <c r="L17" s="17">
        <v>900</v>
      </c>
      <c r="M17" s="16" t="s">
        <v>796</v>
      </c>
      <c r="N17" s="47"/>
    </row>
    <row r="18" spans="1:14" x14ac:dyDescent="0.25">
      <c r="A18" s="16">
        <v>16</v>
      </c>
      <c r="B18" s="16" t="str">
        <f t="shared" si="0"/>
        <v>010000</v>
      </c>
      <c r="C18" s="18" t="s">
        <v>94</v>
      </c>
      <c r="D18" s="18" t="s">
        <v>740</v>
      </c>
      <c r="E18" s="18" t="s">
        <v>798</v>
      </c>
      <c r="F18" s="18" t="s">
        <v>799</v>
      </c>
      <c r="G18" s="18" t="s">
        <v>723</v>
      </c>
      <c r="H18" s="18" t="s">
        <v>800</v>
      </c>
      <c r="I18" s="18" t="s">
        <v>801</v>
      </c>
      <c r="J18" s="18" t="s">
        <v>738</v>
      </c>
      <c r="K18" s="18" t="s">
        <v>104</v>
      </c>
      <c r="L18" s="19">
        <v>1400</v>
      </c>
      <c r="M18" s="18" t="s">
        <v>802</v>
      </c>
      <c r="N18" s="46" t="s">
        <v>797</v>
      </c>
    </row>
    <row r="19" spans="1:14" x14ac:dyDescent="0.25">
      <c r="A19" s="16">
        <v>17</v>
      </c>
      <c r="B19" s="16" t="str">
        <f t="shared" si="0"/>
        <v>010001</v>
      </c>
      <c r="C19" s="18" t="s">
        <v>109</v>
      </c>
      <c r="D19" s="18" t="s">
        <v>728</v>
      </c>
      <c r="E19" s="18" t="s">
        <v>803</v>
      </c>
      <c r="F19" s="18" t="s">
        <v>799</v>
      </c>
      <c r="G19" s="18" t="s">
        <v>723</v>
      </c>
      <c r="H19" s="18" t="s">
        <v>804</v>
      </c>
      <c r="I19" s="18" t="s">
        <v>801</v>
      </c>
      <c r="J19" s="18" t="s">
        <v>738</v>
      </c>
      <c r="K19" s="18" t="s">
        <v>104</v>
      </c>
      <c r="L19" s="19">
        <v>1700</v>
      </c>
      <c r="M19" s="18" t="s">
        <v>805</v>
      </c>
      <c r="N19" s="46"/>
    </row>
    <row r="20" spans="1:14" x14ac:dyDescent="0.25">
      <c r="A20" s="16">
        <v>18</v>
      </c>
      <c r="B20" s="16" t="str">
        <f t="shared" si="0"/>
        <v>010010</v>
      </c>
      <c r="C20" s="18" t="s">
        <v>116</v>
      </c>
      <c r="D20" s="18" t="s">
        <v>735</v>
      </c>
      <c r="E20" s="18" t="s">
        <v>806</v>
      </c>
      <c r="F20" s="18" t="s">
        <v>799</v>
      </c>
      <c r="G20" s="18" t="s">
        <v>723</v>
      </c>
      <c r="H20" s="18" t="s">
        <v>807</v>
      </c>
      <c r="I20" s="18" t="s">
        <v>801</v>
      </c>
      <c r="J20" s="18" t="s">
        <v>738</v>
      </c>
      <c r="K20" s="18" t="s">
        <v>100</v>
      </c>
      <c r="L20" s="19">
        <v>1200</v>
      </c>
      <c r="M20" s="18" t="s">
        <v>808</v>
      </c>
      <c r="N20" s="46"/>
    </row>
    <row r="21" spans="1:14" x14ac:dyDescent="0.25">
      <c r="A21" s="16">
        <v>19</v>
      </c>
      <c r="B21" s="16" t="str">
        <f t="shared" si="0"/>
        <v>010011</v>
      </c>
      <c r="C21" s="18" t="s">
        <v>116</v>
      </c>
      <c r="D21" s="18" t="s">
        <v>106</v>
      </c>
      <c r="E21" s="18" t="s">
        <v>809</v>
      </c>
      <c r="F21" s="18" t="s">
        <v>799</v>
      </c>
      <c r="G21" s="18" t="s">
        <v>723</v>
      </c>
      <c r="H21" s="18" t="s">
        <v>810</v>
      </c>
      <c r="I21" s="18" t="s">
        <v>801</v>
      </c>
      <c r="J21" s="18" t="s">
        <v>738</v>
      </c>
      <c r="K21" s="18" t="s">
        <v>104</v>
      </c>
      <c r="L21" s="19">
        <v>2800</v>
      </c>
      <c r="M21" s="18" t="s">
        <v>811</v>
      </c>
      <c r="N21" s="46"/>
    </row>
    <row r="22" spans="1:14" x14ac:dyDescent="0.25">
      <c r="A22" s="16">
        <v>20</v>
      </c>
      <c r="B22" s="16" t="str">
        <f t="shared" si="0"/>
        <v>010100</v>
      </c>
      <c r="C22" s="18" t="s">
        <v>288</v>
      </c>
      <c r="D22" s="18" t="s">
        <v>812</v>
      </c>
      <c r="E22" s="18" t="s">
        <v>813</v>
      </c>
      <c r="F22" s="18" t="s">
        <v>799</v>
      </c>
      <c r="G22" s="18" t="s">
        <v>723</v>
      </c>
      <c r="H22" s="18" t="s">
        <v>777</v>
      </c>
      <c r="I22" s="18" t="s">
        <v>801</v>
      </c>
      <c r="J22" s="18" t="s">
        <v>814</v>
      </c>
      <c r="K22" s="18" t="s">
        <v>104</v>
      </c>
      <c r="L22" s="18" t="s">
        <v>815</v>
      </c>
      <c r="M22" s="18" t="s">
        <v>816</v>
      </c>
      <c r="N22" s="46"/>
    </row>
    <row r="23" spans="1:14" x14ac:dyDescent="0.25">
      <c r="A23" s="16">
        <v>21</v>
      </c>
      <c r="B23" s="16" t="str">
        <f t="shared" si="0"/>
        <v>010101</v>
      </c>
      <c r="C23" s="16" t="s">
        <v>109</v>
      </c>
      <c r="D23" s="16" t="s">
        <v>728</v>
      </c>
      <c r="E23" s="16" t="s">
        <v>818</v>
      </c>
      <c r="F23" s="16" t="s">
        <v>819</v>
      </c>
      <c r="G23" s="16" t="s">
        <v>723</v>
      </c>
      <c r="H23" s="16" t="s">
        <v>768</v>
      </c>
      <c r="I23" s="16" t="s">
        <v>820</v>
      </c>
      <c r="J23" s="16" t="s">
        <v>738</v>
      </c>
      <c r="K23" s="16" t="s">
        <v>104</v>
      </c>
      <c r="L23" s="17">
        <v>2200</v>
      </c>
      <c r="M23" s="16" t="s">
        <v>821</v>
      </c>
      <c r="N23" s="40" t="s">
        <v>817</v>
      </c>
    </row>
    <row r="24" spans="1:14" x14ac:dyDescent="0.25">
      <c r="A24" s="16">
        <v>22</v>
      </c>
      <c r="B24" s="16" t="str">
        <f t="shared" si="0"/>
        <v>010110</v>
      </c>
      <c r="C24" s="16" t="s">
        <v>116</v>
      </c>
      <c r="D24" s="16" t="s">
        <v>740</v>
      </c>
      <c r="E24" s="16" t="s">
        <v>822</v>
      </c>
      <c r="F24" s="16" t="s">
        <v>819</v>
      </c>
      <c r="G24" s="16" t="s">
        <v>723</v>
      </c>
      <c r="H24" s="16" t="s">
        <v>777</v>
      </c>
      <c r="I24" s="16" t="s">
        <v>820</v>
      </c>
      <c r="J24" s="16" t="s">
        <v>738</v>
      </c>
      <c r="K24" s="16" t="s">
        <v>104</v>
      </c>
      <c r="L24" s="17">
        <v>2000</v>
      </c>
      <c r="M24" s="16" t="s">
        <v>823</v>
      </c>
      <c r="N24" s="40"/>
    </row>
    <row r="25" spans="1:14" x14ac:dyDescent="0.25">
      <c r="A25" s="16">
        <v>23</v>
      </c>
      <c r="B25" s="16" t="str">
        <f t="shared" si="0"/>
        <v>010111</v>
      </c>
      <c r="C25" s="16" t="s">
        <v>116</v>
      </c>
      <c r="D25" s="16" t="s">
        <v>106</v>
      </c>
      <c r="E25" s="16" t="s">
        <v>824</v>
      </c>
      <c r="F25" s="16" t="s">
        <v>819</v>
      </c>
      <c r="G25" s="16" t="s">
        <v>723</v>
      </c>
      <c r="H25" s="16" t="s">
        <v>825</v>
      </c>
      <c r="I25" s="16" t="s">
        <v>820</v>
      </c>
      <c r="J25" s="16" t="s">
        <v>738</v>
      </c>
      <c r="K25" s="16" t="s">
        <v>104</v>
      </c>
      <c r="L25" s="17">
        <v>3800</v>
      </c>
      <c r="M25" s="16" t="s">
        <v>826</v>
      </c>
      <c r="N25" s="40"/>
    </row>
    <row r="26" spans="1:14" x14ac:dyDescent="0.25">
      <c r="A26" s="16">
        <v>24</v>
      </c>
      <c r="B26" s="16" t="str">
        <f t="shared" si="0"/>
        <v>011000</v>
      </c>
      <c r="C26" s="16" t="s">
        <v>288</v>
      </c>
      <c r="D26" s="16" t="s">
        <v>827</v>
      </c>
      <c r="E26" s="16" t="s">
        <v>828</v>
      </c>
      <c r="F26" s="16" t="s">
        <v>819</v>
      </c>
      <c r="G26" s="16" t="s">
        <v>723</v>
      </c>
      <c r="H26" s="16" t="s">
        <v>825</v>
      </c>
      <c r="I26" s="16" t="s">
        <v>820</v>
      </c>
      <c r="J26" s="16" t="s">
        <v>738</v>
      </c>
      <c r="K26" s="16" t="s">
        <v>104</v>
      </c>
      <c r="L26" s="16" t="s">
        <v>829</v>
      </c>
      <c r="M26" s="16" t="s">
        <v>830</v>
      </c>
      <c r="N26" s="40"/>
    </row>
  </sheetData>
  <mergeCells count="7">
    <mergeCell ref="N23:N26"/>
    <mergeCell ref="N3:N5"/>
    <mergeCell ref="N6:N10"/>
    <mergeCell ref="N11:N13"/>
    <mergeCell ref="N14:N15"/>
    <mergeCell ref="N16:N17"/>
    <mergeCell ref="N18:N2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34BBF-80F4-4C37-AA1C-215F3FE622D4}">
  <dimension ref="A1:O59"/>
  <sheetViews>
    <sheetView topLeftCell="D30" zoomScale="85" zoomScaleNormal="85" workbookViewId="0">
      <selection activeCell="O53" sqref="O2:O59"/>
    </sheetView>
  </sheetViews>
  <sheetFormatPr baseColWidth="10" defaultRowHeight="15" x14ac:dyDescent="0.25"/>
  <cols>
    <col min="1" max="1" width="5.140625" bestFit="1" customWidth="1"/>
    <col min="2" max="2" width="12.28515625" bestFit="1" customWidth="1"/>
    <col min="3" max="3" width="17.42578125" bestFit="1" customWidth="1"/>
    <col min="4" max="4" width="12.5703125" bestFit="1" customWidth="1"/>
    <col min="5" max="5" width="30" bestFit="1" customWidth="1"/>
    <col min="6" max="6" width="14.85546875" bestFit="1" customWidth="1"/>
    <col min="7" max="7" width="17.140625" bestFit="1" customWidth="1"/>
    <col min="8" max="8" width="9.28515625" bestFit="1" customWidth="1"/>
    <col min="9" max="9" width="16.7109375" bestFit="1" customWidth="1"/>
    <col min="10" max="10" width="12.5703125" customWidth="1"/>
    <col min="11" max="11" width="24.42578125" bestFit="1" customWidth="1"/>
    <col min="12" max="12" width="26.5703125" bestFit="1" customWidth="1"/>
    <col min="13" max="13" width="25" bestFit="1" customWidth="1"/>
    <col min="14" max="14" width="95" bestFit="1" customWidth="1"/>
    <col min="15" max="15" width="31.85546875" bestFit="1" customWidth="1"/>
  </cols>
  <sheetData>
    <row r="1" spans="1:15" x14ac:dyDescent="0.25">
      <c r="A1" s="22" t="s">
        <v>0</v>
      </c>
      <c r="B1" s="22" t="s">
        <v>1</v>
      </c>
      <c r="C1" s="22" t="s">
        <v>2</v>
      </c>
      <c r="D1" s="22" t="s">
        <v>83</v>
      </c>
      <c r="E1" s="22" t="s">
        <v>84</v>
      </c>
      <c r="F1" s="22" t="s">
        <v>831</v>
      </c>
      <c r="G1" s="22" t="s">
        <v>832</v>
      </c>
      <c r="H1" s="22" t="s">
        <v>833</v>
      </c>
      <c r="I1" s="22" t="s">
        <v>270</v>
      </c>
      <c r="J1" s="22" t="s">
        <v>834</v>
      </c>
      <c r="K1" s="22" t="s">
        <v>835</v>
      </c>
      <c r="L1" s="22" t="s">
        <v>91</v>
      </c>
      <c r="M1" s="22" t="s">
        <v>90</v>
      </c>
      <c r="N1" s="22" t="s">
        <v>579</v>
      </c>
      <c r="O1" s="8"/>
    </row>
    <row r="2" spans="1:15" x14ac:dyDescent="0.25">
      <c r="A2" s="24">
        <v>0</v>
      </c>
      <c r="B2" s="24" t="str">
        <f>TEXT(DEC2BIN(A2,6),"000000")</f>
        <v>000000</v>
      </c>
      <c r="C2" s="2" t="s">
        <v>116</v>
      </c>
      <c r="D2" s="2" t="s">
        <v>839</v>
      </c>
      <c r="E2" s="2" t="s">
        <v>840</v>
      </c>
      <c r="F2" s="2" t="s">
        <v>841</v>
      </c>
      <c r="G2" s="2" t="s">
        <v>842</v>
      </c>
      <c r="H2" s="2" t="s">
        <v>14</v>
      </c>
      <c r="I2" s="2" t="s">
        <v>282</v>
      </c>
      <c r="J2" s="2" t="s">
        <v>843</v>
      </c>
      <c r="K2" s="2" t="s">
        <v>844</v>
      </c>
      <c r="L2" s="2" t="s">
        <v>845</v>
      </c>
      <c r="M2" s="3">
        <v>600</v>
      </c>
      <c r="N2" s="2" t="s">
        <v>846</v>
      </c>
      <c r="O2" s="48" t="s">
        <v>838</v>
      </c>
    </row>
    <row r="3" spans="1:15" x14ac:dyDescent="0.25">
      <c r="A3" s="24">
        <v>1</v>
      </c>
      <c r="B3" s="24" t="str">
        <f t="shared" ref="B3:B59" si="0">TEXT(DEC2BIN(A3,6),"000000")</f>
        <v>000001</v>
      </c>
      <c r="C3" s="2" t="s">
        <v>116</v>
      </c>
      <c r="D3" s="2" t="s">
        <v>839</v>
      </c>
      <c r="E3" s="2" t="s">
        <v>847</v>
      </c>
      <c r="F3" s="2" t="s">
        <v>848</v>
      </c>
      <c r="G3" s="2" t="s">
        <v>849</v>
      </c>
      <c r="H3" s="2" t="s">
        <v>14</v>
      </c>
      <c r="I3" s="2" t="s">
        <v>282</v>
      </c>
      <c r="J3" s="2" t="s">
        <v>843</v>
      </c>
      <c r="K3" s="2" t="s">
        <v>844</v>
      </c>
      <c r="L3" s="2" t="s">
        <v>845</v>
      </c>
      <c r="M3" s="3">
        <v>700</v>
      </c>
      <c r="N3" s="2" t="s">
        <v>850</v>
      </c>
      <c r="O3" s="48"/>
    </row>
    <row r="4" spans="1:15" x14ac:dyDescent="0.25">
      <c r="A4" s="24">
        <v>2</v>
      </c>
      <c r="B4" s="24" t="str">
        <f t="shared" si="0"/>
        <v>000010</v>
      </c>
      <c r="C4" s="2" t="s">
        <v>116</v>
      </c>
      <c r="D4" s="2" t="s">
        <v>851</v>
      </c>
      <c r="E4" s="2" t="s">
        <v>852</v>
      </c>
      <c r="F4" s="2" t="s">
        <v>848</v>
      </c>
      <c r="G4" s="2" t="s">
        <v>842</v>
      </c>
      <c r="H4" s="2" t="s">
        <v>14</v>
      </c>
      <c r="I4" s="2" t="s">
        <v>282</v>
      </c>
      <c r="J4" s="2" t="s">
        <v>843</v>
      </c>
      <c r="K4" s="2" t="s">
        <v>844</v>
      </c>
      <c r="L4" s="2" t="s">
        <v>104</v>
      </c>
      <c r="M4" s="3">
        <v>800</v>
      </c>
      <c r="N4" s="2" t="s">
        <v>853</v>
      </c>
      <c r="O4" s="48"/>
    </row>
    <row r="5" spans="1:15" x14ac:dyDescent="0.25">
      <c r="A5" s="24">
        <v>3</v>
      </c>
      <c r="B5" s="24" t="str">
        <f t="shared" si="0"/>
        <v>000011</v>
      </c>
      <c r="C5" s="2" t="s">
        <v>116</v>
      </c>
      <c r="D5" s="2" t="s">
        <v>728</v>
      </c>
      <c r="E5" s="2" t="s">
        <v>854</v>
      </c>
      <c r="F5" s="2" t="s">
        <v>855</v>
      </c>
      <c r="G5" s="2" t="s">
        <v>849</v>
      </c>
      <c r="H5" s="2" t="s">
        <v>14</v>
      </c>
      <c r="I5" s="2" t="s">
        <v>282</v>
      </c>
      <c r="J5" s="2" t="s">
        <v>843</v>
      </c>
      <c r="K5" s="2" t="s">
        <v>844</v>
      </c>
      <c r="L5" s="2" t="s">
        <v>845</v>
      </c>
      <c r="M5" s="3">
        <v>750</v>
      </c>
      <c r="N5" s="2" t="s">
        <v>856</v>
      </c>
      <c r="O5" s="48"/>
    </row>
    <row r="6" spans="1:15" x14ac:dyDescent="0.25">
      <c r="A6" s="24">
        <v>4</v>
      </c>
      <c r="B6" s="24" t="str">
        <f t="shared" si="0"/>
        <v>000100</v>
      </c>
      <c r="C6" s="2" t="s">
        <v>109</v>
      </c>
      <c r="D6" s="2" t="s">
        <v>275</v>
      </c>
      <c r="E6" s="2" t="s">
        <v>857</v>
      </c>
      <c r="F6" s="2" t="s">
        <v>858</v>
      </c>
      <c r="G6" s="2" t="s">
        <v>849</v>
      </c>
      <c r="H6" s="2" t="s">
        <v>14</v>
      </c>
      <c r="I6" s="2" t="s">
        <v>282</v>
      </c>
      <c r="J6" s="2" t="s">
        <v>843</v>
      </c>
      <c r="K6" s="2" t="s">
        <v>844</v>
      </c>
      <c r="L6" s="2" t="s">
        <v>845</v>
      </c>
      <c r="M6" s="3">
        <v>900</v>
      </c>
      <c r="N6" s="2" t="s">
        <v>859</v>
      </c>
      <c r="O6" s="48"/>
    </row>
    <row r="7" spans="1:15" x14ac:dyDescent="0.25">
      <c r="A7" s="24">
        <v>5</v>
      </c>
      <c r="B7" s="24" t="str">
        <f t="shared" si="0"/>
        <v>000101</v>
      </c>
      <c r="C7" s="2" t="s">
        <v>109</v>
      </c>
      <c r="D7" s="2" t="s">
        <v>740</v>
      </c>
      <c r="E7" s="2" t="s">
        <v>860</v>
      </c>
      <c r="F7" s="2" t="s">
        <v>858</v>
      </c>
      <c r="G7" s="2" t="s">
        <v>849</v>
      </c>
      <c r="H7" s="2" t="s">
        <v>14</v>
      </c>
      <c r="I7" s="2" t="s">
        <v>282</v>
      </c>
      <c r="J7" s="2" t="s">
        <v>843</v>
      </c>
      <c r="K7" s="2" t="s">
        <v>844</v>
      </c>
      <c r="L7" s="2" t="s">
        <v>104</v>
      </c>
      <c r="M7" s="3">
        <v>950</v>
      </c>
      <c r="N7" s="2" t="s">
        <v>861</v>
      </c>
      <c r="O7" s="48"/>
    </row>
    <row r="8" spans="1:15" x14ac:dyDescent="0.25">
      <c r="A8" s="24">
        <v>6</v>
      </c>
      <c r="B8" s="24" t="str">
        <f t="shared" si="0"/>
        <v>000110</v>
      </c>
      <c r="C8" s="24" t="s">
        <v>109</v>
      </c>
      <c r="D8" s="24" t="s">
        <v>863</v>
      </c>
      <c r="E8" s="24" t="s">
        <v>864</v>
      </c>
      <c r="F8" s="24" t="s">
        <v>865</v>
      </c>
      <c r="G8" s="24" t="s">
        <v>849</v>
      </c>
      <c r="H8" s="24" t="s">
        <v>14</v>
      </c>
      <c r="I8" s="24" t="s">
        <v>282</v>
      </c>
      <c r="J8" s="24" t="s">
        <v>843</v>
      </c>
      <c r="K8" s="24" t="s">
        <v>844</v>
      </c>
      <c r="L8" s="24" t="s">
        <v>104</v>
      </c>
      <c r="M8" s="1">
        <v>980</v>
      </c>
      <c r="N8" s="24" t="s">
        <v>866</v>
      </c>
      <c r="O8" s="43" t="s">
        <v>862</v>
      </c>
    </row>
    <row r="9" spans="1:15" x14ac:dyDescent="0.25">
      <c r="A9" s="24">
        <v>7</v>
      </c>
      <c r="B9" s="24" t="str">
        <f t="shared" si="0"/>
        <v>000111</v>
      </c>
      <c r="C9" s="24" t="s">
        <v>109</v>
      </c>
      <c r="D9" s="24" t="s">
        <v>867</v>
      </c>
      <c r="E9" s="24" t="s">
        <v>868</v>
      </c>
      <c r="F9" s="24" t="s">
        <v>865</v>
      </c>
      <c r="G9" s="24" t="s">
        <v>849</v>
      </c>
      <c r="H9" s="24" t="s">
        <v>869</v>
      </c>
      <c r="I9" s="24" t="s">
        <v>282</v>
      </c>
      <c r="J9" s="24" t="s">
        <v>843</v>
      </c>
      <c r="K9" s="24" t="s">
        <v>844</v>
      </c>
      <c r="L9" s="24" t="s">
        <v>845</v>
      </c>
      <c r="M9" s="1">
        <v>1050</v>
      </c>
      <c r="N9" s="24" t="s">
        <v>870</v>
      </c>
      <c r="O9" s="43"/>
    </row>
    <row r="10" spans="1:15" x14ac:dyDescent="0.25">
      <c r="A10" s="24">
        <v>8</v>
      </c>
      <c r="B10" s="24" t="str">
        <f t="shared" si="0"/>
        <v>001000</v>
      </c>
      <c r="C10" s="24" t="s">
        <v>109</v>
      </c>
      <c r="D10" s="24" t="s">
        <v>871</v>
      </c>
      <c r="E10" s="24" t="s">
        <v>872</v>
      </c>
      <c r="F10" s="24" t="s">
        <v>865</v>
      </c>
      <c r="G10" s="24" t="s">
        <v>849</v>
      </c>
      <c r="H10" s="24" t="s">
        <v>14</v>
      </c>
      <c r="I10" s="24" t="s">
        <v>282</v>
      </c>
      <c r="J10" s="24" t="s">
        <v>843</v>
      </c>
      <c r="K10" s="24" t="s">
        <v>873</v>
      </c>
      <c r="L10" s="24" t="s">
        <v>104</v>
      </c>
      <c r="M10" s="1">
        <v>1100</v>
      </c>
      <c r="N10" s="24" t="s">
        <v>874</v>
      </c>
      <c r="O10" s="43"/>
    </row>
    <row r="11" spans="1:15" x14ac:dyDescent="0.25">
      <c r="A11" s="24">
        <v>9</v>
      </c>
      <c r="B11" s="24" t="str">
        <f t="shared" si="0"/>
        <v>001001</v>
      </c>
      <c r="C11" s="24" t="s">
        <v>116</v>
      </c>
      <c r="D11" s="24" t="s">
        <v>875</v>
      </c>
      <c r="E11" s="24" t="s">
        <v>876</v>
      </c>
      <c r="F11" s="24" t="s">
        <v>865</v>
      </c>
      <c r="G11" s="24" t="s">
        <v>849</v>
      </c>
      <c r="H11" s="24" t="s">
        <v>14</v>
      </c>
      <c r="I11" s="24" t="s">
        <v>282</v>
      </c>
      <c r="J11" s="24" t="s">
        <v>843</v>
      </c>
      <c r="K11" s="24" t="s">
        <v>844</v>
      </c>
      <c r="L11" s="24" t="s">
        <v>104</v>
      </c>
      <c r="M11" s="1">
        <v>1150</v>
      </c>
      <c r="N11" s="24" t="s">
        <v>877</v>
      </c>
      <c r="O11" s="43"/>
    </row>
    <row r="12" spans="1:15" x14ac:dyDescent="0.25">
      <c r="A12" s="24">
        <v>10</v>
      </c>
      <c r="B12" s="24" t="str">
        <f t="shared" si="0"/>
        <v>001010</v>
      </c>
      <c r="C12" s="24" t="s">
        <v>94</v>
      </c>
      <c r="D12" s="24" t="s">
        <v>106</v>
      </c>
      <c r="E12" s="24" t="s">
        <v>878</v>
      </c>
      <c r="F12" s="24" t="s">
        <v>865</v>
      </c>
      <c r="G12" s="24" t="s">
        <v>849</v>
      </c>
      <c r="H12" s="24" t="s">
        <v>879</v>
      </c>
      <c r="I12" s="24" t="s">
        <v>282</v>
      </c>
      <c r="J12" s="24" t="s">
        <v>843</v>
      </c>
      <c r="K12" s="24" t="s">
        <v>844</v>
      </c>
      <c r="L12" s="24" t="s">
        <v>104</v>
      </c>
      <c r="M12" s="1">
        <v>1100</v>
      </c>
      <c r="N12" s="24" t="s">
        <v>880</v>
      </c>
      <c r="O12" s="43"/>
    </row>
    <row r="13" spans="1:15" x14ac:dyDescent="0.25">
      <c r="A13" s="24">
        <v>11</v>
      </c>
      <c r="B13" s="24" t="str">
        <f t="shared" si="0"/>
        <v>001011</v>
      </c>
      <c r="C13" s="24" t="s">
        <v>109</v>
      </c>
      <c r="D13" s="24" t="s">
        <v>740</v>
      </c>
      <c r="E13" s="24" t="s">
        <v>860</v>
      </c>
      <c r="F13" s="24" t="s">
        <v>865</v>
      </c>
      <c r="G13" s="24" t="s">
        <v>849</v>
      </c>
      <c r="H13" s="24" t="s">
        <v>14</v>
      </c>
      <c r="I13" s="24" t="s">
        <v>282</v>
      </c>
      <c r="J13" s="24" t="s">
        <v>843</v>
      </c>
      <c r="K13" s="24" t="s">
        <v>873</v>
      </c>
      <c r="L13" s="24" t="s">
        <v>104</v>
      </c>
      <c r="M13" s="1">
        <v>1150</v>
      </c>
      <c r="N13" s="24" t="s">
        <v>881</v>
      </c>
      <c r="O13" s="43"/>
    </row>
    <row r="14" spans="1:15" x14ac:dyDescent="0.25">
      <c r="A14" s="24">
        <v>12</v>
      </c>
      <c r="B14" s="24" t="str">
        <f t="shared" si="0"/>
        <v>001100</v>
      </c>
      <c r="C14" s="24" t="s">
        <v>109</v>
      </c>
      <c r="D14" s="24" t="s">
        <v>882</v>
      </c>
      <c r="E14" s="24" t="s">
        <v>883</v>
      </c>
      <c r="F14" s="24" t="s">
        <v>865</v>
      </c>
      <c r="G14" s="24" t="s">
        <v>849</v>
      </c>
      <c r="H14" s="24" t="s">
        <v>869</v>
      </c>
      <c r="I14" s="24" t="s">
        <v>282</v>
      </c>
      <c r="J14" s="24" t="s">
        <v>843</v>
      </c>
      <c r="K14" s="24" t="s">
        <v>844</v>
      </c>
      <c r="L14" s="24" t="s">
        <v>845</v>
      </c>
      <c r="M14" s="1">
        <v>1050</v>
      </c>
      <c r="N14" s="24" t="s">
        <v>884</v>
      </c>
      <c r="O14" s="43"/>
    </row>
    <row r="15" spans="1:15" x14ac:dyDescent="0.25">
      <c r="A15" s="24">
        <v>13</v>
      </c>
      <c r="B15" s="24" t="str">
        <f t="shared" si="0"/>
        <v>001101</v>
      </c>
      <c r="C15" s="24" t="s">
        <v>109</v>
      </c>
      <c r="D15" s="24" t="s">
        <v>851</v>
      </c>
      <c r="E15" s="24" t="s">
        <v>885</v>
      </c>
      <c r="F15" s="24" t="s">
        <v>865</v>
      </c>
      <c r="G15" s="24" t="s">
        <v>849</v>
      </c>
      <c r="H15" s="24" t="s">
        <v>869</v>
      </c>
      <c r="I15" s="24" t="s">
        <v>282</v>
      </c>
      <c r="J15" s="24" t="s">
        <v>843</v>
      </c>
      <c r="K15" s="24" t="s">
        <v>844</v>
      </c>
      <c r="L15" s="24" t="s">
        <v>104</v>
      </c>
      <c r="M15" s="1">
        <v>1200</v>
      </c>
      <c r="N15" s="24" t="s">
        <v>886</v>
      </c>
      <c r="O15" s="43"/>
    </row>
    <row r="16" spans="1:15" x14ac:dyDescent="0.25">
      <c r="A16" s="24">
        <v>14</v>
      </c>
      <c r="B16" s="24" t="str">
        <f t="shared" si="0"/>
        <v>001110</v>
      </c>
      <c r="C16" s="24" t="s">
        <v>116</v>
      </c>
      <c r="D16" s="24" t="s">
        <v>863</v>
      </c>
      <c r="E16" s="24" t="s">
        <v>887</v>
      </c>
      <c r="F16" s="24" t="s">
        <v>888</v>
      </c>
      <c r="G16" s="24" t="s">
        <v>849</v>
      </c>
      <c r="H16" s="24" t="s">
        <v>14</v>
      </c>
      <c r="I16" s="24" t="s">
        <v>282</v>
      </c>
      <c r="J16" s="24" t="s">
        <v>843</v>
      </c>
      <c r="K16" s="24" t="s">
        <v>873</v>
      </c>
      <c r="L16" s="24" t="s">
        <v>104</v>
      </c>
      <c r="M16" s="1">
        <v>1150</v>
      </c>
      <c r="N16" s="24" t="s">
        <v>889</v>
      </c>
      <c r="O16" s="43"/>
    </row>
    <row r="17" spans="1:15" x14ac:dyDescent="0.25">
      <c r="A17" s="24">
        <v>15</v>
      </c>
      <c r="B17" s="24" t="str">
        <f t="shared" si="0"/>
        <v>001111</v>
      </c>
      <c r="C17" s="24" t="s">
        <v>116</v>
      </c>
      <c r="D17" s="24" t="s">
        <v>867</v>
      </c>
      <c r="E17" s="24" t="s">
        <v>890</v>
      </c>
      <c r="F17" s="24" t="s">
        <v>888</v>
      </c>
      <c r="G17" s="24" t="s">
        <v>849</v>
      </c>
      <c r="H17" s="24" t="s">
        <v>869</v>
      </c>
      <c r="I17" s="24" t="s">
        <v>282</v>
      </c>
      <c r="J17" s="24" t="s">
        <v>843</v>
      </c>
      <c r="K17" s="24" t="s">
        <v>873</v>
      </c>
      <c r="L17" s="24" t="s">
        <v>845</v>
      </c>
      <c r="M17" s="1">
        <v>1250</v>
      </c>
      <c r="N17" s="24" t="s">
        <v>891</v>
      </c>
      <c r="O17" s="43"/>
    </row>
    <row r="18" spans="1:15" x14ac:dyDescent="0.25">
      <c r="A18" s="24">
        <v>16</v>
      </c>
      <c r="B18" s="24" t="str">
        <f t="shared" si="0"/>
        <v>010000</v>
      </c>
      <c r="C18" s="24" t="s">
        <v>109</v>
      </c>
      <c r="D18" s="24" t="s">
        <v>871</v>
      </c>
      <c r="E18" s="24" t="s">
        <v>892</v>
      </c>
      <c r="F18" s="24" t="s">
        <v>888</v>
      </c>
      <c r="G18" s="24" t="s">
        <v>849</v>
      </c>
      <c r="H18" s="24" t="s">
        <v>14</v>
      </c>
      <c r="I18" s="24" t="s">
        <v>282</v>
      </c>
      <c r="J18" s="24" t="s">
        <v>843</v>
      </c>
      <c r="K18" s="24" t="s">
        <v>873</v>
      </c>
      <c r="L18" s="24" t="s">
        <v>104</v>
      </c>
      <c r="M18" s="1">
        <v>1300</v>
      </c>
      <c r="N18" s="24" t="s">
        <v>893</v>
      </c>
      <c r="O18" s="43"/>
    </row>
    <row r="19" spans="1:15" x14ac:dyDescent="0.25">
      <c r="A19" s="24">
        <v>17</v>
      </c>
      <c r="B19" s="24" t="str">
        <f t="shared" si="0"/>
        <v>010001</v>
      </c>
      <c r="C19" s="24" t="s">
        <v>116</v>
      </c>
      <c r="D19" s="24" t="s">
        <v>875</v>
      </c>
      <c r="E19" s="24" t="s">
        <v>894</v>
      </c>
      <c r="F19" s="24" t="s">
        <v>888</v>
      </c>
      <c r="G19" s="24" t="s">
        <v>849</v>
      </c>
      <c r="H19" s="24" t="s">
        <v>14</v>
      </c>
      <c r="I19" s="24" t="s">
        <v>282</v>
      </c>
      <c r="J19" s="24" t="s">
        <v>843</v>
      </c>
      <c r="K19" s="24" t="s">
        <v>873</v>
      </c>
      <c r="L19" s="24" t="s">
        <v>104</v>
      </c>
      <c r="M19" s="1">
        <v>1350</v>
      </c>
      <c r="N19" s="24" t="s">
        <v>895</v>
      </c>
      <c r="O19" s="43"/>
    </row>
    <row r="20" spans="1:15" x14ac:dyDescent="0.25">
      <c r="A20" s="24">
        <v>18</v>
      </c>
      <c r="B20" s="24" t="str">
        <f t="shared" si="0"/>
        <v>010010</v>
      </c>
      <c r="C20" s="24" t="s">
        <v>94</v>
      </c>
      <c r="D20" s="24" t="s">
        <v>106</v>
      </c>
      <c r="E20" s="24" t="s">
        <v>896</v>
      </c>
      <c r="F20" s="24" t="s">
        <v>888</v>
      </c>
      <c r="G20" s="24" t="s">
        <v>849</v>
      </c>
      <c r="H20" s="24" t="s">
        <v>879</v>
      </c>
      <c r="I20" s="24" t="s">
        <v>282</v>
      </c>
      <c r="J20" s="24" t="s">
        <v>843</v>
      </c>
      <c r="K20" s="24" t="s">
        <v>873</v>
      </c>
      <c r="L20" s="24" t="s">
        <v>104</v>
      </c>
      <c r="M20" s="1">
        <v>1400</v>
      </c>
      <c r="N20" s="24" t="s">
        <v>897</v>
      </c>
      <c r="O20" s="43"/>
    </row>
    <row r="21" spans="1:15" x14ac:dyDescent="0.25">
      <c r="A21" s="24">
        <v>19</v>
      </c>
      <c r="B21" s="24" t="str">
        <f t="shared" si="0"/>
        <v>010011</v>
      </c>
      <c r="C21" s="24" t="s">
        <v>109</v>
      </c>
      <c r="D21" s="24" t="s">
        <v>740</v>
      </c>
      <c r="E21" s="24" t="s">
        <v>860</v>
      </c>
      <c r="F21" s="24" t="s">
        <v>888</v>
      </c>
      <c r="G21" s="24" t="s">
        <v>849</v>
      </c>
      <c r="H21" s="24" t="s">
        <v>14</v>
      </c>
      <c r="I21" s="24" t="s">
        <v>282</v>
      </c>
      <c r="J21" s="24" t="s">
        <v>843</v>
      </c>
      <c r="K21" s="24" t="s">
        <v>873</v>
      </c>
      <c r="L21" s="24" t="s">
        <v>104</v>
      </c>
      <c r="M21" s="1">
        <v>1450</v>
      </c>
      <c r="N21" s="24" t="s">
        <v>898</v>
      </c>
      <c r="O21" s="43"/>
    </row>
    <row r="22" spans="1:15" x14ac:dyDescent="0.25">
      <c r="A22" s="24">
        <v>20</v>
      </c>
      <c r="B22" s="24" t="str">
        <f t="shared" si="0"/>
        <v>010100</v>
      </c>
      <c r="C22" s="24" t="s">
        <v>109</v>
      </c>
      <c r="D22" s="24" t="s">
        <v>882</v>
      </c>
      <c r="E22" s="24" t="s">
        <v>899</v>
      </c>
      <c r="F22" s="24" t="s">
        <v>888</v>
      </c>
      <c r="G22" s="24" t="s">
        <v>849</v>
      </c>
      <c r="H22" s="24" t="s">
        <v>869</v>
      </c>
      <c r="I22" s="24" t="s">
        <v>282</v>
      </c>
      <c r="J22" s="24" t="s">
        <v>843</v>
      </c>
      <c r="K22" s="24" t="s">
        <v>873</v>
      </c>
      <c r="L22" s="24" t="s">
        <v>845</v>
      </c>
      <c r="M22" s="1">
        <v>1350</v>
      </c>
      <c r="N22" s="24" t="s">
        <v>900</v>
      </c>
      <c r="O22" s="43"/>
    </row>
    <row r="23" spans="1:15" x14ac:dyDescent="0.25">
      <c r="A23" s="24">
        <v>21</v>
      </c>
      <c r="B23" s="24" t="str">
        <f t="shared" si="0"/>
        <v>010101</v>
      </c>
      <c r="C23" s="24" t="s">
        <v>116</v>
      </c>
      <c r="D23" s="24" t="s">
        <v>275</v>
      </c>
      <c r="E23" s="24" t="s">
        <v>901</v>
      </c>
      <c r="F23" s="24" t="s">
        <v>888</v>
      </c>
      <c r="G23" s="24" t="s">
        <v>849</v>
      </c>
      <c r="H23" s="24" t="s">
        <v>14</v>
      </c>
      <c r="I23" s="24" t="s">
        <v>282</v>
      </c>
      <c r="J23" s="24" t="s">
        <v>843</v>
      </c>
      <c r="K23" s="24" t="s">
        <v>873</v>
      </c>
      <c r="L23" s="24" t="s">
        <v>845</v>
      </c>
      <c r="M23" s="1">
        <v>1300</v>
      </c>
      <c r="N23" s="24" t="s">
        <v>902</v>
      </c>
      <c r="O23" s="43"/>
    </row>
    <row r="24" spans="1:15" x14ac:dyDescent="0.25">
      <c r="A24" s="24">
        <v>22</v>
      </c>
      <c r="B24" s="24" t="str">
        <f t="shared" si="0"/>
        <v>010110</v>
      </c>
      <c r="C24" s="2" t="s">
        <v>109</v>
      </c>
      <c r="D24" s="2" t="s">
        <v>275</v>
      </c>
      <c r="E24" s="2" t="s">
        <v>904</v>
      </c>
      <c r="F24" s="2" t="s">
        <v>888</v>
      </c>
      <c r="G24" s="2" t="s">
        <v>905</v>
      </c>
      <c r="H24" s="2" t="s">
        <v>906</v>
      </c>
      <c r="I24" s="2" t="s">
        <v>282</v>
      </c>
      <c r="J24" s="2" t="s">
        <v>907</v>
      </c>
      <c r="K24" s="2" t="s">
        <v>873</v>
      </c>
      <c r="L24" s="2" t="s">
        <v>845</v>
      </c>
      <c r="M24" s="3">
        <v>1500</v>
      </c>
      <c r="N24" s="2" t="s">
        <v>908</v>
      </c>
      <c r="O24" s="49" t="s">
        <v>903</v>
      </c>
    </row>
    <row r="25" spans="1:15" x14ac:dyDescent="0.25">
      <c r="A25" s="24">
        <v>23</v>
      </c>
      <c r="B25" s="24" t="str">
        <f t="shared" si="0"/>
        <v>010111</v>
      </c>
      <c r="C25" s="2" t="s">
        <v>109</v>
      </c>
      <c r="D25" s="2" t="s">
        <v>740</v>
      </c>
      <c r="E25" s="2" t="s">
        <v>909</v>
      </c>
      <c r="F25" s="2" t="s">
        <v>888</v>
      </c>
      <c r="G25" s="2" t="s">
        <v>905</v>
      </c>
      <c r="H25" s="2" t="s">
        <v>906</v>
      </c>
      <c r="I25" s="2" t="s">
        <v>282</v>
      </c>
      <c r="J25" s="2" t="s">
        <v>910</v>
      </c>
      <c r="K25" s="2" t="s">
        <v>873</v>
      </c>
      <c r="L25" s="2" t="s">
        <v>104</v>
      </c>
      <c r="M25" s="3">
        <v>1800</v>
      </c>
      <c r="N25" s="2" t="s">
        <v>911</v>
      </c>
      <c r="O25" s="49"/>
    </row>
    <row r="26" spans="1:15" x14ac:dyDescent="0.25">
      <c r="A26" s="24">
        <v>24</v>
      </c>
      <c r="B26" s="24" t="str">
        <f t="shared" si="0"/>
        <v>011000</v>
      </c>
      <c r="C26" s="2" t="s">
        <v>109</v>
      </c>
      <c r="D26" s="2" t="s">
        <v>882</v>
      </c>
      <c r="E26" s="2" t="s">
        <v>912</v>
      </c>
      <c r="F26" s="2" t="s">
        <v>888</v>
      </c>
      <c r="G26" s="2" t="s">
        <v>905</v>
      </c>
      <c r="H26" s="2" t="s">
        <v>906</v>
      </c>
      <c r="I26" s="2" t="s">
        <v>282</v>
      </c>
      <c r="J26" s="2" t="s">
        <v>907</v>
      </c>
      <c r="K26" s="2" t="s">
        <v>873</v>
      </c>
      <c r="L26" s="2" t="s">
        <v>845</v>
      </c>
      <c r="M26" s="3">
        <v>1900</v>
      </c>
      <c r="N26" s="2" t="s">
        <v>913</v>
      </c>
      <c r="O26" s="49"/>
    </row>
    <row r="27" spans="1:15" x14ac:dyDescent="0.25">
      <c r="A27" s="24">
        <v>25</v>
      </c>
      <c r="B27" s="24" t="str">
        <f t="shared" si="0"/>
        <v>011001</v>
      </c>
      <c r="C27" s="2" t="s">
        <v>109</v>
      </c>
      <c r="D27" s="2" t="s">
        <v>106</v>
      </c>
      <c r="E27" s="2" t="s">
        <v>914</v>
      </c>
      <c r="F27" s="2" t="s">
        <v>888</v>
      </c>
      <c r="G27" s="2" t="s">
        <v>905</v>
      </c>
      <c r="H27" s="2" t="s">
        <v>906</v>
      </c>
      <c r="I27" s="2" t="s">
        <v>915</v>
      </c>
      <c r="J27" s="2" t="s">
        <v>907</v>
      </c>
      <c r="K27" s="2" t="s">
        <v>916</v>
      </c>
      <c r="L27" s="2" t="s">
        <v>104</v>
      </c>
      <c r="M27" s="3">
        <v>2100</v>
      </c>
      <c r="N27" s="2" t="s">
        <v>917</v>
      </c>
      <c r="O27" s="49"/>
    </row>
    <row r="28" spans="1:15" x14ac:dyDescent="0.25">
      <c r="A28" s="24">
        <v>26</v>
      </c>
      <c r="B28" s="24" t="str">
        <f t="shared" si="0"/>
        <v>011010</v>
      </c>
      <c r="C28" s="2" t="s">
        <v>116</v>
      </c>
      <c r="D28" s="2" t="s">
        <v>918</v>
      </c>
      <c r="E28" s="2" t="s">
        <v>919</v>
      </c>
      <c r="F28" s="2" t="s">
        <v>888</v>
      </c>
      <c r="G28" s="2" t="s">
        <v>905</v>
      </c>
      <c r="H28" s="2" t="s">
        <v>906</v>
      </c>
      <c r="I28" s="2" t="s">
        <v>282</v>
      </c>
      <c r="J28" s="2" t="s">
        <v>907</v>
      </c>
      <c r="K28" s="2" t="s">
        <v>873</v>
      </c>
      <c r="L28" s="2" t="s">
        <v>104</v>
      </c>
      <c r="M28" s="3">
        <v>2000</v>
      </c>
      <c r="N28" s="2" t="s">
        <v>920</v>
      </c>
      <c r="O28" s="49"/>
    </row>
    <row r="29" spans="1:15" x14ac:dyDescent="0.25">
      <c r="A29" s="24">
        <v>27</v>
      </c>
      <c r="B29" s="24" t="str">
        <f t="shared" si="0"/>
        <v>011011</v>
      </c>
      <c r="C29" s="2" t="s">
        <v>116</v>
      </c>
      <c r="D29" s="2" t="s">
        <v>871</v>
      </c>
      <c r="E29" s="2" t="s">
        <v>921</v>
      </c>
      <c r="F29" s="2" t="s">
        <v>888</v>
      </c>
      <c r="G29" s="2" t="s">
        <v>905</v>
      </c>
      <c r="H29" s="2" t="s">
        <v>906</v>
      </c>
      <c r="I29" s="2" t="s">
        <v>282</v>
      </c>
      <c r="J29" s="2" t="s">
        <v>907</v>
      </c>
      <c r="K29" s="2" t="s">
        <v>922</v>
      </c>
      <c r="L29" s="2" t="s">
        <v>104</v>
      </c>
      <c r="M29" s="3">
        <v>2200</v>
      </c>
      <c r="N29" s="2" t="s">
        <v>923</v>
      </c>
      <c r="O29" s="49"/>
    </row>
    <row r="30" spans="1:15" x14ac:dyDescent="0.25">
      <c r="A30" s="24">
        <v>28</v>
      </c>
      <c r="B30" s="24" t="str">
        <f t="shared" si="0"/>
        <v>011100</v>
      </c>
      <c r="C30" s="2" t="s">
        <v>116</v>
      </c>
      <c r="D30" s="2" t="s">
        <v>875</v>
      </c>
      <c r="E30" s="2" t="s">
        <v>924</v>
      </c>
      <c r="F30" s="2" t="s">
        <v>888</v>
      </c>
      <c r="G30" s="2" t="s">
        <v>905</v>
      </c>
      <c r="H30" s="2" t="s">
        <v>906</v>
      </c>
      <c r="I30" s="2" t="s">
        <v>915</v>
      </c>
      <c r="J30" s="2" t="s">
        <v>907</v>
      </c>
      <c r="K30" s="2" t="s">
        <v>916</v>
      </c>
      <c r="L30" s="2" t="s">
        <v>104</v>
      </c>
      <c r="M30" s="3">
        <v>2300</v>
      </c>
      <c r="N30" s="2" t="s">
        <v>925</v>
      </c>
      <c r="O30" s="49"/>
    </row>
    <row r="31" spans="1:15" x14ac:dyDescent="0.25">
      <c r="A31" s="24">
        <v>29</v>
      </c>
      <c r="B31" s="24" t="str">
        <f t="shared" si="0"/>
        <v>011101</v>
      </c>
      <c r="C31" s="2" t="s">
        <v>109</v>
      </c>
      <c r="D31" s="2" t="s">
        <v>740</v>
      </c>
      <c r="E31" s="2" t="s">
        <v>909</v>
      </c>
      <c r="F31" s="2" t="s">
        <v>926</v>
      </c>
      <c r="G31" s="2" t="s">
        <v>905</v>
      </c>
      <c r="H31" s="2" t="s">
        <v>906</v>
      </c>
      <c r="I31" s="2" t="s">
        <v>282</v>
      </c>
      <c r="J31" s="2" t="s">
        <v>910</v>
      </c>
      <c r="K31" s="2" t="s">
        <v>922</v>
      </c>
      <c r="L31" s="2" t="s">
        <v>104</v>
      </c>
      <c r="M31" s="3">
        <v>2100</v>
      </c>
      <c r="N31" s="2" t="s">
        <v>927</v>
      </c>
      <c r="O31" s="49"/>
    </row>
    <row r="32" spans="1:15" x14ac:dyDescent="0.25">
      <c r="A32" s="24">
        <v>30</v>
      </c>
      <c r="B32" s="24" t="str">
        <f t="shared" si="0"/>
        <v>011110</v>
      </c>
      <c r="C32" s="2" t="s">
        <v>116</v>
      </c>
      <c r="D32" s="2" t="s">
        <v>275</v>
      </c>
      <c r="E32" s="2" t="s">
        <v>928</v>
      </c>
      <c r="F32" s="2" t="s">
        <v>926</v>
      </c>
      <c r="G32" s="2" t="s">
        <v>905</v>
      </c>
      <c r="H32" s="2" t="s">
        <v>906</v>
      </c>
      <c r="I32" s="2" t="s">
        <v>915</v>
      </c>
      <c r="J32" s="2" t="s">
        <v>907</v>
      </c>
      <c r="K32" s="2" t="s">
        <v>929</v>
      </c>
      <c r="L32" s="2" t="s">
        <v>845</v>
      </c>
      <c r="M32" s="3">
        <v>2200</v>
      </c>
      <c r="N32" s="2" t="s">
        <v>930</v>
      </c>
      <c r="O32" s="49"/>
    </row>
    <row r="33" spans="1:15" x14ac:dyDescent="0.25">
      <c r="A33" s="24">
        <v>31</v>
      </c>
      <c r="B33" s="24" t="str">
        <f t="shared" si="0"/>
        <v>011111</v>
      </c>
      <c r="C33" s="2" t="s">
        <v>116</v>
      </c>
      <c r="D33" s="2" t="s">
        <v>882</v>
      </c>
      <c r="E33" s="2" t="s">
        <v>931</v>
      </c>
      <c r="F33" s="2" t="s">
        <v>926</v>
      </c>
      <c r="G33" s="2" t="s">
        <v>905</v>
      </c>
      <c r="H33" s="2" t="s">
        <v>906</v>
      </c>
      <c r="I33" s="2" t="s">
        <v>282</v>
      </c>
      <c r="J33" s="2" t="s">
        <v>907</v>
      </c>
      <c r="K33" s="2" t="s">
        <v>922</v>
      </c>
      <c r="L33" s="2" t="s">
        <v>845</v>
      </c>
      <c r="M33" s="3">
        <v>2300</v>
      </c>
      <c r="N33" s="2" t="s">
        <v>932</v>
      </c>
      <c r="O33" s="49"/>
    </row>
    <row r="34" spans="1:15" x14ac:dyDescent="0.25">
      <c r="A34" s="24">
        <v>32</v>
      </c>
      <c r="B34" s="24" t="str">
        <f t="shared" si="0"/>
        <v>100000</v>
      </c>
      <c r="C34" s="2" t="s">
        <v>109</v>
      </c>
      <c r="D34" s="2" t="s">
        <v>106</v>
      </c>
      <c r="E34" s="2" t="s">
        <v>933</v>
      </c>
      <c r="F34" s="2" t="s">
        <v>926</v>
      </c>
      <c r="G34" s="2" t="s">
        <v>905</v>
      </c>
      <c r="H34" s="2" t="s">
        <v>906</v>
      </c>
      <c r="I34" s="2" t="s">
        <v>915</v>
      </c>
      <c r="J34" s="2" t="s">
        <v>907</v>
      </c>
      <c r="K34" s="2" t="s">
        <v>929</v>
      </c>
      <c r="L34" s="2" t="s">
        <v>104</v>
      </c>
      <c r="M34" s="3">
        <v>2400</v>
      </c>
      <c r="N34" s="2" t="s">
        <v>934</v>
      </c>
      <c r="O34" s="49"/>
    </row>
    <row r="35" spans="1:15" x14ac:dyDescent="0.25">
      <c r="A35" s="24">
        <v>33</v>
      </c>
      <c r="B35" s="24" t="str">
        <f t="shared" si="0"/>
        <v>100001</v>
      </c>
      <c r="C35" s="2" t="s">
        <v>116</v>
      </c>
      <c r="D35" s="2" t="s">
        <v>851</v>
      </c>
      <c r="E35" s="2" t="s">
        <v>935</v>
      </c>
      <c r="F35" s="2" t="s">
        <v>926</v>
      </c>
      <c r="G35" s="2" t="s">
        <v>905</v>
      </c>
      <c r="H35" s="2" t="s">
        <v>906</v>
      </c>
      <c r="I35" s="2" t="s">
        <v>915</v>
      </c>
      <c r="J35" s="2" t="s">
        <v>907</v>
      </c>
      <c r="K35" s="2" t="s">
        <v>929</v>
      </c>
      <c r="L35" s="2" t="s">
        <v>104</v>
      </c>
      <c r="M35" s="3">
        <v>2300</v>
      </c>
      <c r="N35" s="2" t="s">
        <v>936</v>
      </c>
      <c r="O35" s="49"/>
    </row>
    <row r="36" spans="1:15" x14ac:dyDescent="0.25">
      <c r="A36" s="24">
        <v>34</v>
      </c>
      <c r="B36" s="24" t="str">
        <f t="shared" si="0"/>
        <v>100010</v>
      </c>
      <c r="C36" s="2" t="s">
        <v>116</v>
      </c>
      <c r="D36" s="2" t="s">
        <v>871</v>
      </c>
      <c r="E36" s="2" t="s">
        <v>937</v>
      </c>
      <c r="F36" s="2" t="s">
        <v>926</v>
      </c>
      <c r="G36" s="2" t="s">
        <v>905</v>
      </c>
      <c r="H36" s="2" t="s">
        <v>906</v>
      </c>
      <c r="I36" s="2" t="s">
        <v>282</v>
      </c>
      <c r="J36" s="2" t="s">
        <v>907</v>
      </c>
      <c r="K36" s="2" t="s">
        <v>922</v>
      </c>
      <c r="L36" s="2" t="s">
        <v>104</v>
      </c>
      <c r="M36" s="3">
        <v>2500</v>
      </c>
      <c r="N36" s="2" t="s">
        <v>938</v>
      </c>
      <c r="O36" s="49"/>
    </row>
    <row r="37" spans="1:15" x14ac:dyDescent="0.25">
      <c r="A37" s="24">
        <v>35</v>
      </c>
      <c r="B37" s="24" t="str">
        <f t="shared" si="0"/>
        <v>100011</v>
      </c>
      <c r="C37" s="2" t="s">
        <v>116</v>
      </c>
      <c r="D37" s="2" t="s">
        <v>875</v>
      </c>
      <c r="E37" s="2" t="s">
        <v>939</v>
      </c>
      <c r="F37" s="2" t="s">
        <v>926</v>
      </c>
      <c r="G37" s="2" t="s">
        <v>905</v>
      </c>
      <c r="H37" s="2" t="s">
        <v>906</v>
      </c>
      <c r="I37" s="2" t="s">
        <v>915</v>
      </c>
      <c r="J37" s="2" t="s">
        <v>907</v>
      </c>
      <c r="K37" s="2" t="s">
        <v>940</v>
      </c>
      <c r="L37" s="2" t="s">
        <v>104</v>
      </c>
      <c r="M37" s="3">
        <v>2600</v>
      </c>
      <c r="N37" s="2" t="s">
        <v>941</v>
      </c>
      <c r="O37" s="49"/>
    </row>
    <row r="38" spans="1:15" x14ac:dyDescent="0.25">
      <c r="A38" s="24">
        <v>36</v>
      </c>
      <c r="B38" s="24" t="str">
        <f t="shared" si="0"/>
        <v>100100</v>
      </c>
      <c r="C38" s="2" t="s">
        <v>116</v>
      </c>
      <c r="D38" s="2" t="s">
        <v>775</v>
      </c>
      <c r="E38" s="2" t="s">
        <v>942</v>
      </c>
      <c r="F38" s="2" t="s">
        <v>926</v>
      </c>
      <c r="G38" s="2" t="s">
        <v>905</v>
      </c>
      <c r="H38" s="2" t="s">
        <v>906</v>
      </c>
      <c r="I38" s="2" t="s">
        <v>915</v>
      </c>
      <c r="J38" s="2" t="s">
        <v>907</v>
      </c>
      <c r="K38" s="2" t="s">
        <v>929</v>
      </c>
      <c r="L38" s="2" t="s">
        <v>104</v>
      </c>
      <c r="M38" s="3">
        <v>2600</v>
      </c>
      <c r="N38" s="2" t="s">
        <v>943</v>
      </c>
      <c r="O38" s="49"/>
    </row>
    <row r="39" spans="1:15" x14ac:dyDescent="0.25">
      <c r="A39" s="24">
        <v>37</v>
      </c>
      <c r="B39" s="24" t="str">
        <f t="shared" si="0"/>
        <v>100101</v>
      </c>
      <c r="C39" s="24" t="s">
        <v>288</v>
      </c>
      <c r="D39" s="24" t="s">
        <v>280</v>
      </c>
      <c r="E39" s="24" t="s">
        <v>945</v>
      </c>
      <c r="F39" s="24" t="s">
        <v>926</v>
      </c>
      <c r="G39" s="24" t="s">
        <v>905</v>
      </c>
      <c r="H39" s="24" t="s">
        <v>906</v>
      </c>
      <c r="I39" s="24" t="s">
        <v>915</v>
      </c>
      <c r="J39" s="24" t="s">
        <v>907</v>
      </c>
      <c r="K39" s="24" t="s">
        <v>916</v>
      </c>
      <c r="L39" s="24" t="s">
        <v>104</v>
      </c>
      <c r="M39" s="1">
        <v>2800</v>
      </c>
      <c r="N39" s="24" t="s">
        <v>946</v>
      </c>
      <c r="O39" s="45" t="s">
        <v>944</v>
      </c>
    </row>
    <row r="40" spans="1:15" x14ac:dyDescent="0.25">
      <c r="A40" s="24">
        <v>38</v>
      </c>
      <c r="B40" s="24" t="str">
        <f t="shared" si="0"/>
        <v>100110</v>
      </c>
      <c r="C40" s="24" t="s">
        <v>288</v>
      </c>
      <c r="D40" s="24" t="s">
        <v>918</v>
      </c>
      <c r="E40" s="24" t="s">
        <v>947</v>
      </c>
      <c r="F40" s="24" t="s">
        <v>926</v>
      </c>
      <c r="G40" s="24" t="s">
        <v>905</v>
      </c>
      <c r="H40" s="24" t="s">
        <v>906</v>
      </c>
      <c r="I40" s="24" t="s">
        <v>282</v>
      </c>
      <c r="J40" s="24" t="s">
        <v>907</v>
      </c>
      <c r="K40" s="24" t="s">
        <v>922</v>
      </c>
      <c r="L40" s="24" t="s">
        <v>104</v>
      </c>
      <c r="M40" s="1">
        <v>2800</v>
      </c>
      <c r="N40" s="24" t="s">
        <v>948</v>
      </c>
      <c r="O40" s="45"/>
    </row>
    <row r="41" spans="1:15" x14ac:dyDescent="0.25">
      <c r="A41" s="24">
        <v>39</v>
      </c>
      <c r="B41" s="24" t="str">
        <f t="shared" si="0"/>
        <v>100111</v>
      </c>
      <c r="C41" s="24" t="s">
        <v>116</v>
      </c>
      <c r="D41" s="24" t="s">
        <v>106</v>
      </c>
      <c r="E41" s="24" t="s">
        <v>949</v>
      </c>
      <c r="F41" s="24" t="s">
        <v>926</v>
      </c>
      <c r="G41" s="24" t="s">
        <v>905</v>
      </c>
      <c r="H41" s="24" t="s">
        <v>906</v>
      </c>
      <c r="I41" s="24" t="s">
        <v>950</v>
      </c>
      <c r="J41" s="24" t="s">
        <v>907</v>
      </c>
      <c r="K41" s="24" t="s">
        <v>951</v>
      </c>
      <c r="L41" s="24" t="s">
        <v>104</v>
      </c>
      <c r="M41" s="1">
        <v>3000</v>
      </c>
      <c r="N41" s="24" t="s">
        <v>952</v>
      </c>
      <c r="O41" s="45"/>
    </row>
    <row r="42" spans="1:15" x14ac:dyDescent="0.25">
      <c r="A42" s="24">
        <v>40</v>
      </c>
      <c r="B42" s="24" t="str">
        <f t="shared" si="0"/>
        <v>101000</v>
      </c>
      <c r="C42" s="24" t="s">
        <v>116</v>
      </c>
      <c r="D42" s="24" t="s">
        <v>106</v>
      </c>
      <c r="E42" s="24" t="s">
        <v>953</v>
      </c>
      <c r="F42" s="24" t="s">
        <v>954</v>
      </c>
      <c r="G42" s="24" t="s">
        <v>905</v>
      </c>
      <c r="H42" s="24" t="s">
        <v>906</v>
      </c>
      <c r="I42" s="24" t="s">
        <v>915</v>
      </c>
      <c r="J42" s="24" t="s">
        <v>907</v>
      </c>
      <c r="K42" s="24" t="s">
        <v>955</v>
      </c>
      <c r="L42" s="24" t="s">
        <v>104</v>
      </c>
      <c r="M42" s="1">
        <v>3200</v>
      </c>
      <c r="N42" s="24" t="s">
        <v>956</v>
      </c>
      <c r="O42" s="45"/>
    </row>
    <row r="43" spans="1:15" x14ac:dyDescent="0.25">
      <c r="A43" s="24">
        <v>41</v>
      </c>
      <c r="B43" s="24" t="str">
        <f t="shared" si="0"/>
        <v>101001</v>
      </c>
      <c r="C43" s="24" t="s">
        <v>288</v>
      </c>
      <c r="D43" s="24" t="s">
        <v>851</v>
      </c>
      <c r="E43" s="24" t="s">
        <v>957</v>
      </c>
      <c r="F43" s="24" t="s">
        <v>954</v>
      </c>
      <c r="G43" s="24" t="s">
        <v>905</v>
      </c>
      <c r="H43" s="24" t="s">
        <v>906</v>
      </c>
      <c r="I43" s="24" t="s">
        <v>915</v>
      </c>
      <c r="J43" s="24" t="s">
        <v>907</v>
      </c>
      <c r="K43" s="24" t="s">
        <v>929</v>
      </c>
      <c r="L43" s="24" t="s">
        <v>104</v>
      </c>
      <c r="M43" s="1">
        <v>3400</v>
      </c>
      <c r="N43" s="24" t="s">
        <v>958</v>
      </c>
      <c r="O43" s="45"/>
    </row>
    <row r="44" spans="1:15" x14ac:dyDescent="0.25">
      <c r="A44" s="24">
        <v>42</v>
      </c>
      <c r="B44" s="24" t="str">
        <f t="shared" si="0"/>
        <v>101010</v>
      </c>
      <c r="C44" s="24" t="s">
        <v>288</v>
      </c>
      <c r="D44" s="24" t="s">
        <v>882</v>
      </c>
      <c r="E44" s="24" t="s">
        <v>959</v>
      </c>
      <c r="F44" s="24" t="s">
        <v>954</v>
      </c>
      <c r="G44" s="24" t="s">
        <v>905</v>
      </c>
      <c r="H44" s="24" t="s">
        <v>906</v>
      </c>
      <c r="I44" s="24" t="s">
        <v>282</v>
      </c>
      <c r="J44" s="24" t="s">
        <v>907</v>
      </c>
      <c r="K44" s="24" t="s">
        <v>960</v>
      </c>
      <c r="L44" s="24" t="s">
        <v>845</v>
      </c>
      <c r="M44" s="1">
        <v>3600</v>
      </c>
      <c r="N44" s="24" t="s">
        <v>961</v>
      </c>
      <c r="O44" s="45"/>
    </row>
    <row r="45" spans="1:15" x14ac:dyDescent="0.25">
      <c r="A45" s="24">
        <v>43</v>
      </c>
      <c r="B45" s="24" t="str">
        <f t="shared" si="0"/>
        <v>101011</v>
      </c>
      <c r="C45" s="24" t="s">
        <v>288</v>
      </c>
      <c r="D45" s="24" t="s">
        <v>875</v>
      </c>
      <c r="E45" s="24" t="s">
        <v>962</v>
      </c>
      <c r="F45" s="24" t="s">
        <v>954</v>
      </c>
      <c r="G45" s="24" t="s">
        <v>905</v>
      </c>
      <c r="H45" s="24" t="s">
        <v>906</v>
      </c>
      <c r="I45" s="24" t="s">
        <v>915</v>
      </c>
      <c r="J45" s="24" t="s">
        <v>907</v>
      </c>
      <c r="K45" s="24" t="s">
        <v>955</v>
      </c>
      <c r="L45" s="24" t="s">
        <v>104</v>
      </c>
      <c r="M45" s="1">
        <v>3900</v>
      </c>
      <c r="N45" s="24" t="s">
        <v>963</v>
      </c>
      <c r="O45" s="45"/>
    </row>
    <row r="46" spans="1:15" x14ac:dyDescent="0.25">
      <c r="A46" s="24">
        <v>44</v>
      </c>
      <c r="B46" s="24" t="str">
        <f t="shared" si="0"/>
        <v>101100</v>
      </c>
      <c r="C46" s="24" t="s">
        <v>288</v>
      </c>
      <c r="D46" s="24" t="s">
        <v>106</v>
      </c>
      <c r="E46" s="24" t="s">
        <v>964</v>
      </c>
      <c r="F46" s="24" t="s">
        <v>954</v>
      </c>
      <c r="G46" s="24" t="s">
        <v>905</v>
      </c>
      <c r="H46" s="24" t="s">
        <v>906</v>
      </c>
      <c r="I46" s="24" t="s">
        <v>915</v>
      </c>
      <c r="J46" s="24" t="s">
        <v>907</v>
      </c>
      <c r="K46" s="24" t="s">
        <v>965</v>
      </c>
      <c r="L46" s="24" t="s">
        <v>104</v>
      </c>
      <c r="M46" s="1">
        <v>4200</v>
      </c>
      <c r="N46" s="24" t="s">
        <v>966</v>
      </c>
      <c r="O46" s="45"/>
    </row>
    <row r="47" spans="1:15" x14ac:dyDescent="0.25">
      <c r="A47" s="24">
        <v>45</v>
      </c>
      <c r="B47" s="24" t="str">
        <f t="shared" si="0"/>
        <v>101101</v>
      </c>
      <c r="C47" s="24" t="s">
        <v>288</v>
      </c>
      <c r="D47" s="24" t="s">
        <v>918</v>
      </c>
      <c r="E47" s="24" t="s">
        <v>967</v>
      </c>
      <c r="F47" s="24" t="s">
        <v>926</v>
      </c>
      <c r="G47" s="24" t="s">
        <v>968</v>
      </c>
      <c r="H47" s="24" t="s">
        <v>906</v>
      </c>
      <c r="I47" s="24" t="s">
        <v>282</v>
      </c>
      <c r="J47" s="24" t="s">
        <v>907</v>
      </c>
      <c r="K47" s="24" t="s">
        <v>922</v>
      </c>
      <c r="L47" s="24" t="s">
        <v>104</v>
      </c>
      <c r="M47" s="1">
        <v>3500</v>
      </c>
      <c r="N47" s="24" t="s">
        <v>969</v>
      </c>
      <c r="O47" s="45"/>
    </row>
    <row r="48" spans="1:15" x14ac:dyDescent="0.25">
      <c r="A48" s="24">
        <v>46</v>
      </c>
      <c r="B48" s="24" t="str">
        <f t="shared" si="0"/>
        <v>101110</v>
      </c>
      <c r="C48" s="24" t="s">
        <v>440</v>
      </c>
      <c r="D48" s="24" t="s">
        <v>863</v>
      </c>
      <c r="E48" s="24" t="s">
        <v>970</v>
      </c>
      <c r="F48" s="24" t="s">
        <v>971</v>
      </c>
      <c r="G48" s="24" t="s">
        <v>968</v>
      </c>
      <c r="H48" s="24" t="s">
        <v>906</v>
      </c>
      <c r="I48" s="24" t="s">
        <v>915</v>
      </c>
      <c r="J48" s="24" t="s">
        <v>907</v>
      </c>
      <c r="K48" s="24" t="s">
        <v>965</v>
      </c>
      <c r="L48" s="24" t="s">
        <v>104</v>
      </c>
      <c r="M48" s="1">
        <v>4000</v>
      </c>
      <c r="N48" s="24" t="s">
        <v>972</v>
      </c>
      <c r="O48" s="45"/>
    </row>
    <row r="49" spans="1:15" x14ac:dyDescent="0.25">
      <c r="A49" s="24">
        <v>47</v>
      </c>
      <c r="B49" s="24" t="str">
        <f t="shared" si="0"/>
        <v>101111</v>
      </c>
      <c r="C49" s="24" t="s">
        <v>288</v>
      </c>
      <c r="D49" s="24" t="s">
        <v>871</v>
      </c>
      <c r="E49" s="24" t="s">
        <v>973</v>
      </c>
      <c r="F49" s="24" t="s">
        <v>954</v>
      </c>
      <c r="G49" s="24" t="s">
        <v>968</v>
      </c>
      <c r="H49" s="24" t="s">
        <v>906</v>
      </c>
      <c r="I49" s="24" t="s">
        <v>915</v>
      </c>
      <c r="J49" s="24" t="s">
        <v>907</v>
      </c>
      <c r="K49" s="24" t="s">
        <v>965</v>
      </c>
      <c r="L49" s="24" t="s">
        <v>104</v>
      </c>
      <c r="M49" s="1">
        <v>5200</v>
      </c>
      <c r="N49" s="24" t="s">
        <v>974</v>
      </c>
      <c r="O49" s="45"/>
    </row>
    <row r="50" spans="1:15" x14ac:dyDescent="0.25">
      <c r="A50" s="24">
        <v>48</v>
      </c>
      <c r="B50" s="24" t="str">
        <f t="shared" si="0"/>
        <v>110000</v>
      </c>
      <c r="C50" s="2" t="s">
        <v>440</v>
      </c>
      <c r="D50" s="2" t="s">
        <v>740</v>
      </c>
      <c r="E50" s="2" t="s">
        <v>976</v>
      </c>
      <c r="F50" s="2" t="s">
        <v>888</v>
      </c>
      <c r="G50" s="2" t="s">
        <v>905</v>
      </c>
      <c r="H50" s="2" t="s">
        <v>906</v>
      </c>
      <c r="I50" s="2" t="s">
        <v>977</v>
      </c>
      <c r="J50" s="2" t="s">
        <v>910</v>
      </c>
      <c r="K50" s="2" t="s">
        <v>873</v>
      </c>
      <c r="L50" s="2" t="s">
        <v>104</v>
      </c>
      <c r="M50" s="3">
        <v>2800</v>
      </c>
      <c r="N50" s="2" t="s">
        <v>978</v>
      </c>
      <c r="O50" s="49" t="s">
        <v>975</v>
      </c>
    </row>
    <row r="51" spans="1:15" x14ac:dyDescent="0.25">
      <c r="A51" s="24">
        <v>49</v>
      </c>
      <c r="B51" s="24" t="str">
        <f t="shared" si="0"/>
        <v>110001</v>
      </c>
      <c r="C51" s="2" t="s">
        <v>440</v>
      </c>
      <c r="D51" s="2" t="s">
        <v>106</v>
      </c>
      <c r="E51" s="2" t="s">
        <v>979</v>
      </c>
      <c r="F51" s="2" t="s">
        <v>888</v>
      </c>
      <c r="G51" s="2" t="s">
        <v>968</v>
      </c>
      <c r="H51" s="2" t="s">
        <v>906</v>
      </c>
      <c r="I51" s="2" t="s">
        <v>977</v>
      </c>
      <c r="J51" s="2" t="s">
        <v>907</v>
      </c>
      <c r="K51" s="2" t="s">
        <v>873</v>
      </c>
      <c r="L51" s="2" t="s">
        <v>104</v>
      </c>
      <c r="M51" s="3">
        <v>3500</v>
      </c>
      <c r="N51" s="2" t="s">
        <v>980</v>
      </c>
      <c r="O51" s="49"/>
    </row>
    <row r="52" spans="1:15" x14ac:dyDescent="0.25">
      <c r="A52" s="24">
        <v>50</v>
      </c>
      <c r="B52" s="24" t="str">
        <f t="shared" si="0"/>
        <v>110010</v>
      </c>
      <c r="C52" s="2" t="s">
        <v>440</v>
      </c>
      <c r="D52" s="2" t="s">
        <v>740</v>
      </c>
      <c r="E52" s="2" t="s">
        <v>981</v>
      </c>
      <c r="F52" s="2" t="s">
        <v>926</v>
      </c>
      <c r="G52" s="2" t="s">
        <v>905</v>
      </c>
      <c r="H52" s="2" t="s">
        <v>906</v>
      </c>
      <c r="I52" s="2" t="s">
        <v>977</v>
      </c>
      <c r="J52" s="2" t="s">
        <v>910</v>
      </c>
      <c r="K52" s="2" t="s">
        <v>873</v>
      </c>
      <c r="L52" s="2" t="s">
        <v>104</v>
      </c>
      <c r="M52" s="3">
        <v>3200</v>
      </c>
      <c r="N52" s="2" t="s">
        <v>982</v>
      </c>
      <c r="O52" s="49"/>
    </row>
    <row r="53" spans="1:15" x14ac:dyDescent="0.25">
      <c r="A53" s="24">
        <v>51</v>
      </c>
      <c r="B53" s="24" t="str">
        <f t="shared" si="0"/>
        <v>110011</v>
      </c>
      <c r="C53" s="24" t="s">
        <v>440</v>
      </c>
      <c r="D53" s="24" t="s">
        <v>918</v>
      </c>
      <c r="E53" s="24" t="s">
        <v>984</v>
      </c>
      <c r="F53" s="24" t="s">
        <v>954</v>
      </c>
      <c r="G53" s="24" t="s">
        <v>985</v>
      </c>
      <c r="H53" s="24" t="s">
        <v>906</v>
      </c>
      <c r="I53" s="24" t="s">
        <v>282</v>
      </c>
      <c r="J53" s="24" t="s">
        <v>907</v>
      </c>
      <c r="K53" s="24" t="s">
        <v>922</v>
      </c>
      <c r="L53" s="24" t="s">
        <v>104</v>
      </c>
      <c r="M53" s="24" t="s">
        <v>986</v>
      </c>
      <c r="N53" s="24" t="s">
        <v>987</v>
      </c>
      <c r="O53" s="45" t="s">
        <v>983</v>
      </c>
    </row>
    <row r="54" spans="1:15" x14ac:dyDescent="0.25">
      <c r="A54" s="24">
        <v>52</v>
      </c>
      <c r="B54" s="24" t="str">
        <f t="shared" si="0"/>
        <v>110100</v>
      </c>
      <c r="C54" s="24" t="s">
        <v>440</v>
      </c>
      <c r="D54" s="24" t="s">
        <v>775</v>
      </c>
      <c r="E54" s="24" t="s">
        <v>988</v>
      </c>
      <c r="F54" s="24" t="s">
        <v>954</v>
      </c>
      <c r="G54" s="24" t="s">
        <v>985</v>
      </c>
      <c r="H54" s="24" t="s">
        <v>906</v>
      </c>
      <c r="I54" s="24" t="s">
        <v>915</v>
      </c>
      <c r="J54" s="24" t="s">
        <v>907</v>
      </c>
      <c r="K54" s="24" t="s">
        <v>929</v>
      </c>
      <c r="L54" s="24" t="s">
        <v>104</v>
      </c>
      <c r="M54" s="24" t="s">
        <v>989</v>
      </c>
      <c r="N54" s="24" t="s">
        <v>990</v>
      </c>
      <c r="O54" s="45"/>
    </row>
    <row r="55" spans="1:15" x14ac:dyDescent="0.25">
      <c r="A55" s="24">
        <v>53</v>
      </c>
      <c r="B55" s="24" t="str">
        <f t="shared" si="0"/>
        <v>110101</v>
      </c>
      <c r="C55" s="24" t="s">
        <v>440</v>
      </c>
      <c r="D55" s="24" t="s">
        <v>106</v>
      </c>
      <c r="E55" s="24" t="s">
        <v>991</v>
      </c>
      <c r="F55" s="24" t="s">
        <v>992</v>
      </c>
      <c r="G55" s="24" t="s">
        <v>985</v>
      </c>
      <c r="H55" s="24" t="s">
        <v>906</v>
      </c>
      <c r="I55" s="24" t="s">
        <v>282</v>
      </c>
      <c r="J55" s="24" t="s">
        <v>907</v>
      </c>
      <c r="K55" s="24" t="s">
        <v>960</v>
      </c>
      <c r="L55" s="24" t="s">
        <v>104</v>
      </c>
      <c r="M55" s="24" t="s">
        <v>993</v>
      </c>
      <c r="N55" s="24" t="s">
        <v>994</v>
      </c>
      <c r="O55" s="45"/>
    </row>
    <row r="56" spans="1:15" x14ac:dyDescent="0.25">
      <c r="A56" s="24">
        <v>54</v>
      </c>
      <c r="B56" s="24" t="str">
        <f t="shared" si="0"/>
        <v>110110</v>
      </c>
      <c r="C56" s="24" t="s">
        <v>440</v>
      </c>
      <c r="D56" s="24" t="s">
        <v>851</v>
      </c>
      <c r="E56" s="24" t="s">
        <v>995</v>
      </c>
      <c r="F56" s="24" t="s">
        <v>996</v>
      </c>
      <c r="G56" s="24" t="s">
        <v>968</v>
      </c>
      <c r="H56" s="24" t="s">
        <v>906</v>
      </c>
      <c r="I56" s="24" t="s">
        <v>950</v>
      </c>
      <c r="J56" s="24" t="s">
        <v>907</v>
      </c>
      <c r="K56" s="24" t="s">
        <v>997</v>
      </c>
      <c r="L56" s="24" t="s">
        <v>104</v>
      </c>
      <c r="M56" s="24" t="s">
        <v>998</v>
      </c>
      <c r="N56" s="24" t="s">
        <v>999</v>
      </c>
      <c r="O56" s="45"/>
    </row>
    <row r="57" spans="1:15" x14ac:dyDescent="0.25">
      <c r="A57" s="24">
        <v>55</v>
      </c>
      <c r="B57" s="24" t="str">
        <f t="shared" si="0"/>
        <v>110111</v>
      </c>
      <c r="C57" s="24" t="s">
        <v>440</v>
      </c>
      <c r="D57" s="24" t="s">
        <v>882</v>
      </c>
      <c r="E57" s="24" t="s">
        <v>1000</v>
      </c>
      <c r="F57" s="24" t="s">
        <v>954</v>
      </c>
      <c r="G57" s="24" t="s">
        <v>968</v>
      </c>
      <c r="H57" s="24" t="s">
        <v>906</v>
      </c>
      <c r="I57" s="24" t="s">
        <v>282</v>
      </c>
      <c r="J57" s="24" t="s">
        <v>907</v>
      </c>
      <c r="K57" s="24" t="s">
        <v>960</v>
      </c>
      <c r="L57" s="24" t="s">
        <v>845</v>
      </c>
      <c r="M57" s="1">
        <v>4500</v>
      </c>
      <c r="N57" s="24" t="s">
        <v>1001</v>
      </c>
      <c r="O57" s="45"/>
    </row>
    <row r="58" spans="1:15" x14ac:dyDescent="0.25">
      <c r="A58" s="24">
        <v>56</v>
      </c>
      <c r="B58" s="24" t="str">
        <f t="shared" si="0"/>
        <v>111000</v>
      </c>
      <c r="C58" s="24" t="s">
        <v>440</v>
      </c>
      <c r="D58" s="24" t="s">
        <v>280</v>
      </c>
      <c r="E58" s="24" t="s">
        <v>1002</v>
      </c>
      <c r="F58" s="24" t="s">
        <v>954</v>
      </c>
      <c r="G58" s="24" t="s">
        <v>905</v>
      </c>
      <c r="H58" s="24" t="s">
        <v>906</v>
      </c>
      <c r="I58" s="24" t="s">
        <v>915</v>
      </c>
      <c r="J58" s="24" t="s">
        <v>907</v>
      </c>
      <c r="K58" s="24" t="s">
        <v>929</v>
      </c>
      <c r="L58" s="24" t="s">
        <v>104</v>
      </c>
      <c r="M58" s="1">
        <v>5500</v>
      </c>
      <c r="N58" s="24" t="s">
        <v>1003</v>
      </c>
      <c r="O58" s="45"/>
    </row>
    <row r="59" spans="1:15" x14ac:dyDescent="0.25">
      <c r="A59" s="24">
        <v>57</v>
      </c>
      <c r="B59" s="24" t="str">
        <f t="shared" si="0"/>
        <v>111001</v>
      </c>
      <c r="C59" s="24" t="s">
        <v>440</v>
      </c>
      <c r="D59" s="24" t="s">
        <v>106</v>
      </c>
      <c r="E59" s="24" t="s">
        <v>1004</v>
      </c>
      <c r="F59" s="24" t="s">
        <v>1005</v>
      </c>
      <c r="G59" s="24" t="s">
        <v>1006</v>
      </c>
      <c r="H59" s="24" t="s">
        <v>906</v>
      </c>
      <c r="I59" s="24" t="s">
        <v>282</v>
      </c>
      <c r="J59" s="24" t="s">
        <v>907</v>
      </c>
      <c r="K59" s="24" t="s">
        <v>1007</v>
      </c>
      <c r="L59" s="24" t="s">
        <v>104</v>
      </c>
      <c r="M59" s="24" t="s">
        <v>1008</v>
      </c>
      <c r="N59" s="24" t="s">
        <v>1009</v>
      </c>
      <c r="O59" s="45"/>
    </row>
  </sheetData>
  <mergeCells count="6">
    <mergeCell ref="O53:O59"/>
    <mergeCell ref="O2:O7"/>
    <mergeCell ref="O8:O23"/>
    <mergeCell ref="O24:O38"/>
    <mergeCell ref="O39:O49"/>
    <mergeCell ref="O50:O5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142DA-9F5E-434D-9E8D-161F8BBAE3CB}">
  <dimension ref="A1:W47"/>
  <sheetViews>
    <sheetView topLeftCell="O19" workbookViewId="0">
      <selection activeCell="W2" sqref="W2:W47"/>
    </sheetView>
  </sheetViews>
  <sheetFormatPr baseColWidth="10" defaultRowHeight="15" x14ac:dyDescent="0.25"/>
  <cols>
    <col min="1" max="1" width="7.42578125" bestFit="1" customWidth="1"/>
    <col min="2" max="2" width="14.5703125" bestFit="1" customWidth="1"/>
    <col min="3" max="3" width="19.7109375" bestFit="1" customWidth="1"/>
    <col min="4" max="4" width="17" bestFit="1" customWidth="1"/>
    <col min="5" max="5" width="25.42578125" bestFit="1" customWidth="1"/>
    <col min="6" max="6" width="13.140625" bestFit="1" customWidth="1"/>
    <col min="7" max="7" width="25.42578125" bestFit="1" customWidth="1"/>
    <col min="8" max="8" width="25.7109375" bestFit="1" customWidth="1"/>
    <col min="9" max="9" width="27.5703125" bestFit="1" customWidth="1"/>
    <col min="10" max="10" width="19.7109375" bestFit="1" customWidth="1"/>
    <col min="11" max="11" width="21" bestFit="1" customWidth="1"/>
    <col min="12" max="12" width="28.140625" bestFit="1" customWidth="1"/>
    <col min="13" max="13" width="28.5703125" bestFit="1" customWidth="1"/>
    <col min="14" max="14" width="26.7109375" bestFit="1" customWidth="1"/>
    <col min="15" max="15" width="14.28515625" bestFit="1" customWidth="1"/>
    <col min="16" max="16" width="17.42578125" bestFit="1" customWidth="1"/>
    <col min="17" max="17" width="28.5703125" bestFit="1" customWidth="1"/>
    <col min="18" max="18" width="18.42578125" bestFit="1" customWidth="1"/>
    <col min="19" max="19" width="20.7109375" bestFit="1" customWidth="1"/>
    <col min="20" max="20" width="25.28515625" bestFit="1" customWidth="1"/>
    <col min="21" max="21" width="23.140625" bestFit="1" customWidth="1"/>
    <col min="22" max="22" width="88.28515625" bestFit="1" customWidth="1"/>
    <col min="23" max="23" width="28.7109375" bestFit="1" customWidth="1"/>
  </cols>
  <sheetData>
    <row r="1" spans="1:23" x14ac:dyDescent="0.25">
      <c r="A1" s="22" t="s">
        <v>0</v>
      </c>
      <c r="B1" s="22" t="s">
        <v>1</v>
      </c>
      <c r="C1" s="22" t="s">
        <v>2</v>
      </c>
      <c r="D1" s="22" t="s">
        <v>83</v>
      </c>
      <c r="E1" s="22" t="s">
        <v>1010</v>
      </c>
      <c r="F1" s="22" t="s">
        <v>270</v>
      </c>
      <c r="G1" s="22" t="s">
        <v>1011</v>
      </c>
      <c r="H1" s="22" t="s">
        <v>1012</v>
      </c>
      <c r="I1" s="22" t="s">
        <v>1013</v>
      </c>
      <c r="J1" s="22" t="s">
        <v>1014</v>
      </c>
      <c r="K1" s="22" t="s">
        <v>1015</v>
      </c>
      <c r="L1" s="22" t="s">
        <v>1016</v>
      </c>
      <c r="M1" s="22" t="s">
        <v>1017</v>
      </c>
      <c r="N1" s="22" t="s">
        <v>1018</v>
      </c>
      <c r="O1" s="22" t="s">
        <v>1019</v>
      </c>
      <c r="P1" s="22" t="s">
        <v>1020</v>
      </c>
      <c r="Q1" s="22" t="s">
        <v>1021</v>
      </c>
      <c r="R1" s="22" t="s">
        <v>1022</v>
      </c>
      <c r="S1" s="22" t="s">
        <v>1023</v>
      </c>
      <c r="T1" s="22" t="s">
        <v>91</v>
      </c>
      <c r="U1" s="22" t="s">
        <v>90</v>
      </c>
      <c r="V1" s="22" t="s">
        <v>579</v>
      </c>
      <c r="W1" s="7"/>
    </row>
    <row r="2" spans="1:23" x14ac:dyDescent="0.25">
      <c r="A2" s="24">
        <v>0</v>
      </c>
      <c r="B2" s="24" t="str">
        <f>TEXT(DEC2BIN(A2,6),"000000")</f>
        <v>000000</v>
      </c>
      <c r="C2" s="2" t="s">
        <v>288</v>
      </c>
      <c r="D2" s="2" t="s">
        <v>1025</v>
      </c>
      <c r="E2" s="2" t="s">
        <v>1026</v>
      </c>
      <c r="F2" s="2" t="s">
        <v>1027</v>
      </c>
      <c r="G2" s="2" t="s">
        <v>1028</v>
      </c>
      <c r="H2" s="2" t="s">
        <v>1029</v>
      </c>
      <c r="I2" s="2" t="s">
        <v>1030</v>
      </c>
      <c r="J2" s="32">
        <v>45689</v>
      </c>
      <c r="K2" s="2" t="s">
        <v>1031</v>
      </c>
      <c r="L2" s="2" t="s">
        <v>1032</v>
      </c>
      <c r="M2" s="2" t="s">
        <v>1033</v>
      </c>
      <c r="N2" s="2" t="s">
        <v>1034</v>
      </c>
      <c r="O2" s="2" t="s">
        <v>1035</v>
      </c>
      <c r="P2" s="2" t="s">
        <v>14</v>
      </c>
      <c r="Q2" s="2" t="s">
        <v>1036</v>
      </c>
      <c r="R2" s="2" t="s">
        <v>1037</v>
      </c>
      <c r="S2" s="2" t="s">
        <v>1038</v>
      </c>
      <c r="T2" s="2" t="s">
        <v>845</v>
      </c>
      <c r="U2" s="3">
        <v>600</v>
      </c>
      <c r="V2" s="2" t="s">
        <v>1039</v>
      </c>
      <c r="W2" s="48" t="s">
        <v>1024</v>
      </c>
    </row>
    <row r="3" spans="1:23" x14ac:dyDescent="0.25">
      <c r="A3" s="24">
        <v>1</v>
      </c>
      <c r="B3" s="24" t="str">
        <f t="shared" ref="B3:B47" si="0">TEXT(DEC2BIN(A3,6),"000000")</f>
        <v>000001</v>
      </c>
      <c r="C3" s="2" t="s">
        <v>116</v>
      </c>
      <c r="D3" s="2" t="s">
        <v>839</v>
      </c>
      <c r="E3" s="2" t="s">
        <v>1040</v>
      </c>
      <c r="F3" s="2" t="s">
        <v>1027</v>
      </c>
      <c r="G3" s="2" t="s">
        <v>1028</v>
      </c>
      <c r="H3" s="2" t="s">
        <v>1041</v>
      </c>
      <c r="I3" s="2" t="s">
        <v>1030</v>
      </c>
      <c r="J3" s="32">
        <v>45689</v>
      </c>
      <c r="K3" s="2" t="s">
        <v>1042</v>
      </c>
      <c r="L3" s="2" t="s">
        <v>1043</v>
      </c>
      <c r="M3" s="2" t="s">
        <v>1044</v>
      </c>
      <c r="N3" s="2" t="s">
        <v>1045</v>
      </c>
      <c r="O3" s="2" t="s">
        <v>1035</v>
      </c>
      <c r="P3" s="2" t="s">
        <v>14</v>
      </c>
      <c r="Q3" s="2" t="s">
        <v>1036</v>
      </c>
      <c r="R3" s="2" t="s">
        <v>1037</v>
      </c>
      <c r="S3" s="2" t="s">
        <v>1038</v>
      </c>
      <c r="T3" s="2" t="s">
        <v>845</v>
      </c>
      <c r="U3" s="3">
        <v>650</v>
      </c>
      <c r="V3" s="2" t="s">
        <v>1046</v>
      </c>
      <c r="W3" s="48"/>
    </row>
    <row r="4" spans="1:23" x14ac:dyDescent="0.25">
      <c r="A4" s="24">
        <v>2</v>
      </c>
      <c r="B4" s="24" t="str">
        <f t="shared" si="0"/>
        <v>000010</v>
      </c>
      <c r="C4" s="2" t="s">
        <v>288</v>
      </c>
      <c r="D4" s="2" t="s">
        <v>1047</v>
      </c>
      <c r="E4" s="2" t="s">
        <v>1048</v>
      </c>
      <c r="F4" s="2" t="s">
        <v>1027</v>
      </c>
      <c r="G4" s="2" t="s">
        <v>1028</v>
      </c>
      <c r="H4" s="2" t="s">
        <v>1049</v>
      </c>
      <c r="I4" s="2" t="s">
        <v>1050</v>
      </c>
      <c r="J4" s="32">
        <v>45689</v>
      </c>
      <c r="K4" s="2" t="s">
        <v>1051</v>
      </c>
      <c r="L4" s="2" t="s">
        <v>1052</v>
      </c>
      <c r="M4" s="2" t="s">
        <v>1044</v>
      </c>
      <c r="N4" s="2" t="s">
        <v>1045</v>
      </c>
      <c r="O4" s="2" t="s">
        <v>1053</v>
      </c>
      <c r="P4" s="2" t="s">
        <v>14</v>
      </c>
      <c r="Q4" s="2" t="s">
        <v>1054</v>
      </c>
      <c r="R4" s="2" t="s">
        <v>1055</v>
      </c>
      <c r="S4" s="2" t="s">
        <v>1038</v>
      </c>
      <c r="T4" s="2" t="s">
        <v>845</v>
      </c>
      <c r="U4" s="3">
        <v>700</v>
      </c>
      <c r="V4" s="2" t="s">
        <v>1056</v>
      </c>
      <c r="W4" s="48"/>
    </row>
    <row r="5" spans="1:23" x14ac:dyDescent="0.25">
      <c r="A5" s="24">
        <v>3</v>
      </c>
      <c r="B5" s="24" t="str">
        <f t="shared" si="0"/>
        <v>000011</v>
      </c>
      <c r="C5" s="2" t="s">
        <v>109</v>
      </c>
      <c r="D5" s="2" t="s">
        <v>867</v>
      </c>
      <c r="E5" s="2" t="s">
        <v>1057</v>
      </c>
      <c r="F5" s="2" t="s">
        <v>1027</v>
      </c>
      <c r="G5" s="2" t="s">
        <v>1028</v>
      </c>
      <c r="H5" s="2" t="s">
        <v>1058</v>
      </c>
      <c r="I5" s="2" t="s">
        <v>1059</v>
      </c>
      <c r="J5" s="32">
        <v>45690</v>
      </c>
      <c r="K5" s="2" t="s">
        <v>1042</v>
      </c>
      <c r="L5" s="2" t="s">
        <v>1060</v>
      </c>
      <c r="M5" s="2" t="s">
        <v>1044</v>
      </c>
      <c r="N5" s="2" t="s">
        <v>1045</v>
      </c>
      <c r="O5" s="2" t="s">
        <v>1053</v>
      </c>
      <c r="P5" s="2" t="s">
        <v>14</v>
      </c>
      <c r="Q5" s="2" t="s">
        <v>1061</v>
      </c>
      <c r="R5" s="2" t="s">
        <v>1055</v>
      </c>
      <c r="S5" s="2" t="s">
        <v>1038</v>
      </c>
      <c r="T5" s="2" t="s">
        <v>845</v>
      </c>
      <c r="U5" s="3">
        <v>750</v>
      </c>
      <c r="V5" s="2" t="s">
        <v>1062</v>
      </c>
      <c r="W5" s="48"/>
    </row>
    <row r="6" spans="1:23" x14ac:dyDescent="0.25">
      <c r="A6" s="24">
        <v>4</v>
      </c>
      <c r="B6" s="24" t="str">
        <f t="shared" si="0"/>
        <v>000100</v>
      </c>
      <c r="C6" s="2" t="s">
        <v>109</v>
      </c>
      <c r="D6" s="2" t="s">
        <v>1063</v>
      </c>
      <c r="E6" s="2" t="s">
        <v>1064</v>
      </c>
      <c r="F6" s="2" t="s">
        <v>1027</v>
      </c>
      <c r="G6" s="2" t="s">
        <v>1028</v>
      </c>
      <c r="H6" s="2" t="s">
        <v>732</v>
      </c>
      <c r="I6" s="2" t="s">
        <v>1059</v>
      </c>
      <c r="J6" s="32">
        <v>45690</v>
      </c>
      <c r="K6" s="2" t="s">
        <v>1065</v>
      </c>
      <c r="L6" s="2" t="s">
        <v>1060</v>
      </c>
      <c r="M6" s="2" t="s">
        <v>1066</v>
      </c>
      <c r="N6" s="2" t="s">
        <v>1045</v>
      </c>
      <c r="O6" s="2" t="s">
        <v>1053</v>
      </c>
      <c r="P6" s="2" t="s">
        <v>1067</v>
      </c>
      <c r="Q6" s="2" t="s">
        <v>1061</v>
      </c>
      <c r="R6" s="2" t="s">
        <v>1037</v>
      </c>
      <c r="S6" s="2" t="s">
        <v>1038</v>
      </c>
      <c r="T6" s="2" t="s">
        <v>104</v>
      </c>
      <c r="U6" s="3">
        <v>800</v>
      </c>
      <c r="V6" s="2" t="s">
        <v>1068</v>
      </c>
      <c r="W6" s="48"/>
    </row>
    <row r="7" spans="1:23" x14ac:dyDescent="0.25">
      <c r="A7" s="24">
        <v>5</v>
      </c>
      <c r="B7" s="24" t="str">
        <f t="shared" si="0"/>
        <v>000101</v>
      </c>
      <c r="C7" s="2" t="s">
        <v>116</v>
      </c>
      <c r="D7" s="2" t="s">
        <v>1069</v>
      </c>
      <c r="E7" s="2" t="s">
        <v>1070</v>
      </c>
      <c r="F7" s="2" t="s">
        <v>1027</v>
      </c>
      <c r="G7" s="2" t="s">
        <v>1028</v>
      </c>
      <c r="H7" s="2" t="s">
        <v>1058</v>
      </c>
      <c r="I7" s="2" t="s">
        <v>1059</v>
      </c>
      <c r="J7" s="32">
        <v>45690</v>
      </c>
      <c r="K7" s="2" t="s">
        <v>1071</v>
      </c>
      <c r="L7" s="2" t="s">
        <v>1060</v>
      </c>
      <c r="M7" s="2" t="s">
        <v>1044</v>
      </c>
      <c r="N7" s="2" t="s">
        <v>1045</v>
      </c>
      <c r="O7" s="2" t="s">
        <v>1053</v>
      </c>
      <c r="P7" s="2" t="s">
        <v>1067</v>
      </c>
      <c r="Q7" s="2" t="s">
        <v>1061</v>
      </c>
      <c r="R7" s="2" t="s">
        <v>1055</v>
      </c>
      <c r="S7" s="2" t="s">
        <v>1038</v>
      </c>
      <c r="T7" s="2" t="s">
        <v>845</v>
      </c>
      <c r="U7" s="3">
        <v>850</v>
      </c>
      <c r="V7" s="2" t="s">
        <v>1072</v>
      </c>
      <c r="W7" s="48"/>
    </row>
    <row r="8" spans="1:23" x14ac:dyDescent="0.25">
      <c r="A8" s="24">
        <v>6</v>
      </c>
      <c r="B8" s="24" t="str">
        <f t="shared" si="0"/>
        <v>000110</v>
      </c>
      <c r="C8" s="2" t="s">
        <v>116</v>
      </c>
      <c r="D8" s="2" t="s">
        <v>863</v>
      </c>
      <c r="E8" s="2" t="s">
        <v>1073</v>
      </c>
      <c r="F8" s="2" t="s">
        <v>1027</v>
      </c>
      <c r="G8" s="2" t="s">
        <v>1028</v>
      </c>
      <c r="H8" s="2" t="s">
        <v>1058</v>
      </c>
      <c r="I8" s="2" t="s">
        <v>1059</v>
      </c>
      <c r="J8" s="32">
        <v>45690</v>
      </c>
      <c r="K8" s="2" t="s">
        <v>1065</v>
      </c>
      <c r="L8" s="2" t="s">
        <v>1074</v>
      </c>
      <c r="M8" s="2" t="s">
        <v>1066</v>
      </c>
      <c r="N8" s="2" t="s">
        <v>1075</v>
      </c>
      <c r="O8" s="2" t="s">
        <v>1053</v>
      </c>
      <c r="P8" s="2" t="s">
        <v>1076</v>
      </c>
      <c r="Q8" s="2" t="s">
        <v>1061</v>
      </c>
      <c r="R8" s="2" t="s">
        <v>1055</v>
      </c>
      <c r="S8" s="2" t="s">
        <v>1038</v>
      </c>
      <c r="T8" s="2" t="s">
        <v>104</v>
      </c>
      <c r="U8" s="3">
        <v>900</v>
      </c>
      <c r="V8" s="2" t="s">
        <v>1077</v>
      </c>
      <c r="W8" s="48"/>
    </row>
    <row r="9" spans="1:23" x14ac:dyDescent="0.25">
      <c r="A9" s="24">
        <v>7</v>
      </c>
      <c r="B9" s="24" t="str">
        <f t="shared" si="0"/>
        <v>000111</v>
      </c>
      <c r="C9" s="24" t="s">
        <v>116</v>
      </c>
      <c r="D9" s="24" t="s">
        <v>1079</v>
      </c>
      <c r="E9" s="24" t="s">
        <v>1080</v>
      </c>
      <c r="F9" s="24" t="s">
        <v>1027</v>
      </c>
      <c r="G9" s="24" t="s">
        <v>1028</v>
      </c>
      <c r="H9" s="24" t="s">
        <v>732</v>
      </c>
      <c r="I9" s="24" t="s">
        <v>1059</v>
      </c>
      <c r="J9" s="33">
        <v>45690</v>
      </c>
      <c r="K9" s="24" t="s">
        <v>1081</v>
      </c>
      <c r="L9" s="24" t="s">
        <v>1043</v>
      </c>
      <c r="M9" s="24" t="s">
        <v>1044</v>
      </c>
      <c r="N9" s="24" t="s">
        <v>1082</v>
      </c>
      <c r="O9" s="24" t="s">
        <v>1083</v>
      </c>
      <c r="P9" s="24" t="s">
        <v>1084</v>
      </c>
      <c r="Q9" s="24" t="s">
        <v>1085</v>
      </c>
      <c r="R9" s="24" t="s">
        <v>1055</v>
      </c>
      <c r="S9" s="24" t="s">
        <v>1038</v>
      </c>
      <c r="T9" s="24" t="s">
        <v>845</v>
      </c>
      <c r="U9" s="1">
        <v>900</v>
      </c>
      <c r="V9" s="24" t="s">
        <v>1086</v>
      </c>
      <c r="W9" s="45" t="s">
        <v>1078</v>
      </c>
    </row>
    <row r="10" spans="1:23" x14ac:dyDescent="0.25">
      <c r="A10" s="24">
        <v>8</v>
      </c>
      <c r="B10" s="24" t="str">
        <f t="shared" si="0"/>
        <v>001000</v>
      </c>
      <c r="C10" s="24" t="s">
        <v>109</v>
      </c>
      <c r="D10" s="24" t="s">
        <v>740</v>
      </c>
      <c r="E10" s="24" t="s">
        <v>1087</v>
      </c>
      <c r="F10" s="24" t="s">
        <v>1027</v>
      </c>
      <c r="G10" s="24" t="s">
        <v>1028</v>
      </c>
      <c r="H10" s="24" t="s">
        <v>732</v>
      </c>
      <c r="I10" s="24" t="s">
        <v>1059</v>
      </c>
      <c r="J10" s="33">
        <v>45689</v>
      </c>
      <c r="K10" s="24" t="s">
        <v>1088</v>
      </c>
      <c r="L10" s="24" t="s">
        <v>1089</v>
      </c>
      <c r="M10" s="24" t="s">
        <v>1090</v>
      </c>
      <c r="N10" s="24" t="s">
        <v>1091</v>
      </c>
      <c r="O10" s="24" t="s">
        <v>1092</v>
      </c>
      <c r="P10" s="24" t="s">
        <v>1093</v>
      </c>
      <c r="Q10" s="24" t="s">
        <v>1085</v>
      </c>
      <c r="R10" s="24" t="s">
        <v>1037</v>
      </c>
      <c r="S10" s="24" t="s">
        <v>1094</v>
      </c>
      <c r="T10" s="24" t="s">
        <v>104</v>
      </c>
      <c r="U10" s="1">
        <v>1000</v>
      </c>
      <c r="V10" s="24" t="s">
        <v>1095</v>
      </c>
      <c r="W10" s="45"/>
    </row>
    <row r="11" spans="1:23" x14ac:dyDescent="0.25">
      <c r="A11" s="24">
        <v>9</v>
      </c>
      <c r="B11" s="24" t="str">
        <f t="shared" si="0"/>
        <v>001001</v>
      </c>
      <c r="C11" s="24" t="s">
        <v>116</v>
      </c>
      <c r="D11" s="24" t="s">
        <v>851</v>
      </c>
      <c r="E11" s="24" t="s">
        <v>1096</v>
      </c>
      <c r="F11" s="24" t="s">
        <v>282</v>
      </c>
      <c r="G11" s="24" t="s">
        <v>1097</v>
      </c>
      <c r="H11" s="24" t="s">
        <v>732</v>
      </c>
      <c r="I11" s="24" t="s">
        <v>1098</v>
      </c>
      <c r="J11" s="33">
        <v>45718</v>
      </c>
      <c r="K11" s="24" t="s">
        <v>1065</v>
      </c>
      <c r="L11" s="24" t="s">
        <v>1099</v>
      </c>
      <c r="M11" s="24" t="s">
        <v>1090</v>
      </c>
      <c r="N11" s="24" t="s">
        <v>1091</v>
      </c>
      <c r="O11" s="24" t="s">
        <v>1083</v>
      </c>
      <c r="P11" s="24" t="s">
        <v>1084</v>
      </c>
      <c r="Q11" s="24" t="s">
        <v>1061</v>
      </c>
      <c r="R11" s="24" t="s">
        <v>1037</v>
      </c>
      <c r="S11" s="24" t="s">
        <v>1100</v>
      </c>
      <c r="T11" s="24" t="s">
        <v>104</v>
      </c>
      <c r="U11" s="1">
        <v>1100</v>
      </c>
      <c r="V11" s="24" t="s">
        <v>1101</v>
      </c>
      <c r="W11" s="45"/>
    </row>
    <row r="12" spans="1:23" x14ac:dyDescent="0.25">
      <c r="A12" s="24">
        <v>10</v>
      </c>
      <c r="B12" s="24" t="str">
        <f t="shared" si="0"/>
        <v>001010</v>
      </c>
      <c r="C12" s="24" t="s">
        <v>116</v>
      </c>
      <c r="D12" s="24" t="s">
        <v>275</v>
      </c>
      <c r="E12" s="24" t="s">
        <v>1102</v>
      </c>
      <c r="F12" s="24" t="s">
        <v>282</v>
      </c>
      <c r="G12" s="24" t="s">
        <v>1097</v>
      </c>
      <c r="H12" s="24" t="s">
        <v>732</v>
      </c>
      <c r="I12" s="24" t="s">
        <v>1098</v>
      </c>
      <c r="J12" s="33">
        <v>45690</v>
      </c>
      <c r="K12" s="24" t="s">
        <v>1103</v>
      </c>
      <c r="L12" s="24" t="s">
        <v>1074</v>
      </c>
      <c r="M12" s="24" t="s">
        <v>1104</v>
      </c>
      <c r="N12" s="24" t="s">
        <v>1091</v>
      </c>
      <c r="O12" s="24" t="s">
        <v>1083</v>
      </c>
      <c r="P12" s="24" t="s">
        <v>1105</v>
      </c>
      <c r="Q12" s="24" t="s">
        <v>1061</v>
      </c>
      <c r="R12" s="24" t="s">
        <v>1055</v>
      </c>
      <c r="S12" s="24" t="s">
        <v>1100</v>
      </c>
      <c r="T12" s="24" t="s">
        <v>845</v>
      </c>
      <c r="U12" s="1">
        <v>1200</v>
      </c>
      <c r="V12" s="24" t="s">
        <v>1106</v>
      </c>
      <c r="W12" s="45"/>
    </row>
    <row r="13" spans="1:23" x14ac:dyDescent="0.25">
      <c r="A13" s="24">
        <v>11</v>
      </c>
      <c r="B13" s="24" t="str">
        <f t="shared" si="0"/>
        <v>001011</v>
      </c>
      <c r="C13" s="24" t="s">
        <v>116</v>
      </c>
      <c r="D13" s="24" t="s">
        <v>740</v>
      </c>
      <c r="E13" s="24" t="s">
        <v>1107</v>
      </c>
      <c r="F13" s="24" t="s">
        <v>1027</v>
      </c>
      <c r="G13" s="24" t="s">
        <v>1028</v>
      </c>
      <c r="H13" s="24" t="s">
        <v>750</v>
      </c>
      <c r="I13" s="24" t="s">
        <v>1098</v>
      </c>
      <c r="J13" s="33">
        <v>45751</v>
      </c>
      <c r="K13" s="24" t="s">
        <v>1108</v>
      </c>
      <c r="L13" s="24" t="s">
        <v>1109</v>
      </c>
      <c r="M13" s="24" t="s">
        <v>1110</v>
      </c>
      <c r="N13" s="24" t="s">
        <v>1091</v>
      </c>
      <c r="O13" s="24" t="s">
        <v>1092</v>
      </c>
      <c r="P13" s="24" t="s">
        <v>1111</v>
      </c>
      <c r="Q13" s="24" t="s">
        <v>1061</v>
      </c>
      <c r="R13" s="24" t="s">
        <v>1037</v>
      </c>
      <c r="S13" s="24" t="s">
        <v>1094</v>
      </c>
      <c r="T13" s="24" t="s">
        <v>104</v>
      </c>
      <c r="U13" s="1">
        <v>1400</v>
      </c>
      <c r="V13" s="24" t="s">
        <v>1112</v>
      </c>
      <c r="W13" s="45"/>
    </row>
    <row r="14" spans="1:23" x14ac:dyDescent="0.25">
      <c r="A14" s="24">
        <v>12</v>
      </c>
      <c r="B14" s="24" t="str">
        <f t="shared" si="0"/>
        <v>001100</v>
      </c>
      <c r="C14" s="24" t="s">
        <v>116</v>
      </c>
      <c r="D14" s="24" t="s">
        <v>875</v>
      </c>
      <c r="E14" s="24" t="s">
        <v>1113</v>
      </c>
      <c r="F14" s="24" t="s">
        <v>282</v>
      </c>
      <c r="G14" s="24" t="s">
        <v>1097</v>
      </c>
      <c r="H14" s="24" t="s">
        <v>1114</v>
      </c>
      <c r="I14" s="24" t="s">
        <v>1059</v>
      </c>
      <c r="J14" s="33">
        <v>45779</v>
      </c>
      <c r="K14" s="24" t="s">
        <v>1103</v>
      </c>
      <c r="L14" s="24" t="s">
        <v>1060</v>
      </c>
      <c r="M14" s="24" t="s">
        <v>1115</v>
      </c>
      <c r="N14" s="24" t="s">
        <v>1091</v>
      </c>
      <c r="O14" s="24" t="s">
        <v>1092</v>
      </c>
      <c r="P14" s="24" t="s">
        <v>1105</v>
      </c>
      <c r="Q14" s="24" t="s">
        <v>1061</v>
      </c>
      <c r="R14" s="24" t="s">
        <v>1055</v>
      </c>
      <c r="S14" s="24" t="s">
        <v>1116</v>
      </c>
      <c r="T14" s="24" t="s">
        <v>104</v>
      </c>
      <c r="U14" s="1">
        <v>1400</v>
      </c>
      <c r="V14" s="24" t="s">
        <v>1117</v>
      </c>
      <c r="W14" s="45"/>
    </row>
    <row r="15" spans="1:23" x14ac:dyDescent="0.25">
      <c r="A15" s="24">
        <v>13</v>
      </c>
      <c r="B15" s="24" t="str">
        <f t="shared" si="0"/>
        <v>001101</v>
      </c>
      <c r="C15" s="24" t="s">
        <v>116</v>
      </c>
      <c r="D15" s="24" t="s">
        <v>1063</v>
      </c>
      <c r="E15" s="24" t="s">
        <v>1118</v>
      </c>
      <c r="F15" s="24" t="s">
        <v>282</v>
      </c>
      <c r="G15" s="24" t="s">
        <v>1097</v>
      </c>
      <c r="H15" s="24" t="s">
        <v>1119</v>
      </c>
      <c r="I15" s="24" t="s">
        <v>1120</v>
      </c>
      <c r="J15" s="33">
        <v>45718</v>
      </c>
      <c r="K15" s="24" t="s">
        <v>1088</v>
      </c>
      <c r="L15" s="24" t="s">
        <v>1074</v>
      </c>
      <c r="M15" s="24" t="s">
        <v>1110</v>
      </c>
      <c r="N15" s="24" t="s">
        <v>1121</v>
      </c>
      <c r="O15" s="24" t="s">
        <v>1092</v>
      </c>
      <c r="P15" s="24" t="s">
        <v>1111</v>
      </c>
      <c r="Q15" s="24" t="s">
        <v>1061</v>
      </c>
      <c r="R15" s="24" t="s">
        <v>1055</v>
      </c>
      <c r="S15" s="24" t="s">
        <v>1116</v>
      </c>
      <c r="T15" s="24" t="s">
        <v>104</v>
      </c>
      <c r="U15" s="1">
        <v>1500</v>
      </c>
      <c r="V15" s="24" t="s">
        <v>1122</v>
      </c>
      <c r="W15" s="45"/>
    </row>
    <row r="16" spans="1:23" x14ac:dyDescent="0.25">
      <c r="A16" s="24">
        <v>14</v>
      </c>
      <c r="B16" s="24" t="str">
        <f t="shared" si="0"/>
        <v>001110</v>
      </c>
      <c r="C16" s="24" t="s">
        <v>116</v>
      </c>
      <c r="D16" s="24" t="s">
        <v>740</v>
      </c>
      <c r="E16" s="24" t="s">
        <v>1123</v>
      </c>
      <c r="F16" s="24" t="s">
        <v>282</v>
      </c>
      <c r="G16" s="24" t="s">
        <v>1097</v>
      </c>
      <c r="H16" s="24" t="s">
        <v>1119</v>
      </c>
      <c r="I16" s="24" t="s">
        <v>1120</v>
      </c>
      <c r="J16" s="33">
        <v>45779</v>
      </c>
      <c r="K16" s="24" t="s">
        <v>1124</v>
      </c>
      <c r="L16" s="24" t="s">
        <v>1074</v>
      </c>
      <c r="M16" s="24" t="s">
        <v>1110</v>
      </c>
      <c r="N16" s="24" t="s">
        <v>1091</v>
      </c>
      <c r="O16" s="24" t="s">
        <v>1092</v>
      </c>
      <c r="P16" s="24" t="s">
        <v>1111</v>
      </c>
      <c r="Q16" s="24" t="s">
        <v>1061</v>
      </c>
      <c r="R16" s="24" t="s">
        <v>1055</v>
      </c>
      <c r="S16" s="24" t="s">
        <v>1116</v>
      </c>
      <c r="T16" s="24" t="s">
        <v>104</v>
      </c>
      <c r="U16" s="1">
        <v>1500</v>
      </c>
      <c r="V16" s="24" t="s">
        <v>1125</v>
      </c>
      <c r="W16" s="45"/>
    </row>
    <row r="17" spans="1:23" x14ac:dyDescent="0.25">
      <c r="A17" s="24">
        <v>15</v>
      </c>
      <c r="B17" s="24" t="str">
        <f t="shared" si="0"/>
        <v>001111</v>
      </c>
      <c r="C17" s="2" t="s">
        <v>116</v>
      </c>
      <c r="D17" s="2" t="s">
        <v>1127</v>
      </c>
      <c r="E17" s="2" t="s">
        <v>1128</v>
      </c>
      <c r="F17" s="2" t="s">
        <v>282</v>
      </c>
      <c r="G17" s="2" t="s">
        <v>1097</v>
      </c>
      <c r="H17" s="2" t="s">
        <v>769</v>
      </c>
      <c r="I17" s="2" t="s">
        <v>1120</v>
      </c>
      <c r="J17" s="32">
        <v>45690</v>
      </c>
      <c r="K17" s="2" t="s">
        <v>1129</v>
      </c>
      <c r="L17" s="2" t="s">
        <v>1130</v>
      </c>
      <c r="M17" s="2" t="s">
        <v>1110</v>
      </c>
      <c r="N17" s="2" t="s">
        <v>1091</v>
      </c>
      <c r="O17" s="2" t="s">
        <v>1092</v>
      </c>
      <c r="P17" s="2" t="s">
        <v>1111</v>
      </c>
      <c r="Q17" s="2" t="s">
        <v>1061</v>
      </c>
      <c r="R17" s="2" t="s">
        <v>1037</v>
      </c>
      <c r="S17" s="2" t="s">
        <v>1116</v>
      </c>
      <c r="T17" s="2" t="s">
        <v>104</v>
      </c>
      <c r="U17" s="3">
        <v>1600</v>
      </c>
      <c r="V17" s="2" t="s">
        <v>1131</v>
      </c>
      <c r="W17" s="42" t="s">
        <v>1126</v>
      </c>
    </row>
    <row r="18" spans="1:23" x14ac:dyDescent="0.25">
      <c r="A18" s="24">
        <v>16</v>
      </c>
      <c r="B18" s="24" t="str">
        <f t="shared" si="0"/>
        <v>010000</v>
      </c>
      <c r="C18" s="2" t="s">
        <v>116</v>
      </c>
      <c r="D18" s="2" t="s">
        <v>867</v>
      </c>
      <c r="E18" s="2" t="s">
        <v>1132</v>
      </c>
      <c r="F18" s="2" t="s">
        <v>282</v>
      </c>
      <c r="G18" s="2" t="s">
        <v>1097</v>
      </c>
      <c r="H18" s="2" t="s">
        <v>1133</v>
      </c>
      <c r="I18" s="2" t="s">
        <v>1120</v>
      </c>
      <c r="J18" s="32">
        <v>45718</v>
      </c>
      <c r="K18" s="2" t="s">
        <v>1134</v>
      </c>
      <c r="L18" s="2" t="s">
        <v>1074</v>
      </c>
      <c r="M18" s="2" t="s">
        <v>1110</v>
      </c>
      <c r="N18" s="2" t="s">
        <v>1121</v>
      </c>
      <c r="O18" s="2" t="s">
        <v>1092</v>
      </c>
      <c r="P18" s="2" t="s">
        <v>1111</v>
      </c>
      <c r="Q18" s="2" t="s">
        <v>1061</v>
      </c>
      <c r="R18" s="2" t="s">
        <v>1055</v>
      </c>
      <c r="S18" s="2" t="s">
        <v>1116</v>
      </c>
      <c r="T18" s="2" t="s">
        <v>845</v>
      </c>
      <c r="U18" s="3">
        <v>1600</v>
      </c>
      <c r="V18" s="2" t="s">
        <v>1135</v>
      </c>
      <c r="W18" s="42"/>
    </row>
    <row r="19" spans="1:23" x14ac:dyDescent="0.25">
      <c r="A19" s="24">
        <v>17</v>
      </c>
      <c r="B19" s="24" t="str">
        <f t="shared" si="0"/>
        <v>010001</v>
      </c>
      <c r="C19" s="2" t="s">
        <v>116</v>
      </c>
      <c r="D19" s="2" t="s">
        <v>728</v>
      </c>
      <c r="E19" s="2" t="s">
        <v>1136</v>
      </c>
      <c r="F19" s="2" t="s">
        <v>282</v>
      </c>
      <c r="G19" s="2" t="s">
        <v>1137</v>
      </c>
      <c r="H19" s="2" t="s">
        <v>732</v>
      </c>
      <c r="I19" s="2" t="s">
        <v>1138</v>
      </c>
      <c r="J19" s="32">
        <v>45718</v>
      </c>
      <c r="K19" s="2" t="s">
        <v>1134</v>
      </c>
      <c r="L19" s="2" t="s">
        <v>1139</v>
      </c>
      <c r="M19" s="2" t="s">
        <v>1104</v>
      </c>
      <c r="N19" s="2" t="s">
        <v>1140</v>
      </c>
      <c r="O19" s="2" t="s">
        <v>1092</v>
      </c>
      <c r="P19" s="2" t="s">
        <v>1111</v>
      </c>
      <c r="Q19" s="2" t="s">
        <v>1061</v>
      </c>
      <c r="R19" s="2" t="s">
        <v>1037</v>
      </c>
      <c r="S19" s="2" t="s">
        <v>1116</v>
      </c>
      <c r="T19" s="2" t="s">
        <v>104</v>
      </c>
      <c r="U19" s="3">
        <v>1600</v>
      </c>
      <c r="V19" s="2" t="s">
        <v>1141</v>
      </c>
      <c r="W19" s="42"/>
    </row>
    <row r="20" spans="1:23" x14ac:dyDescent="0.25">
      <c r="A20" s="24">
        <v>18</v>
      </c>
      <c r="B20" s="24" t="str">
        <f t="shared" si="0"/>
        <v>010010</v>
      </c>
      <c r="C20" s="2" t="s">
        <v>116</v>
      </c>
      <c r="D20" s="2" t="s">
        <v>280</v>
      </c>
      <c r="E20" s="2" t="s">
        <v>1142</v>
      </c>
      <c r="F20" s="2" t="s">
        <v>282</v>
      </c>
      <c r="G20" s="2" t="s">
        <v>1097</v>
      </c>
      <c r="H20" s="2" t="s">
        <v>1143</v>
      </c>
      <c r="I20" s="2" t="s">
        <v>1120</v>
      </c>
      <c r="J20" s="32">
        <v>45749</v>
      </c>
      <c r="K20" s="2" t="s">
        <v>1065</v>
      </c>
      <c r="L20" s="2" t="s">
        <v>1060</v>
      </c>
      <c r="M20" s="2" t="s">
        <v>1090</v>
      </c>
      <c r="N20" s="2" t="s">
        <v>1091</v>
      </c>
      <c r="O20" s="2" t="s">
        <v>1092</v>
      </c>
      <c r="P20" s="2" t="s">
        <v>1111</v>
      </c>
      <c r="Q20" s="2" t="s">
        <v>1061</v>
      </c>
      <c r="R20" s="2" t="s">
        <v>1055</v>
      </c>
      <c r="S20" s="2" t="s">
        <v>1116</v>
      </c>
      <c r="T20" s="2" t="s">
        <v>104</v>
      </c>
      <c r="U20" s="3">
        <v>1700</v>
      </c>
      <c r="V20" s="2" t="s">
        <v>1144</v>
      </c>
      <c r="W20" s="42"/>
    </row>
    <row r="21" spans="1:23" x14ac:dyDescent="0.25">
      <c r="A21" s="24">
        <v>19</v>
      </c>
      <c r="B21" s="24" t="str">
        <f t="shared" si="0"/>
        <v>010011</v>
      </c>
      <c r="C21" s="2" t="s">
        <v>109</v>
      </c>
      <c r="D21" s="2" t="s">
        <v>1145</v>
      </c>
      <c r="E21" s="2" t="s">
        <v>1146</v>
      </c>
      <c r="F21" s="2" t="s">
        <v>282</v>
      </c>
      <c r="G21" s="2" t="s">
        <v>1137</v>
      </c>
      <c r="H21" s="2" t="s">
        <v>1147</v>
      </c>
      <c r="I21" s="2" t="s">
        <v>1138</v>
      </c>
      <c r="J21" s="32">
        <v>45779</v>
      </c>
      <c r="K21" s="2" t="s">
        <v>1148</v>
      </c>
      <c r="L21" s="2" t="s">
        <v>1099</v>
      </c>
      <c r="M21" s="2" t="s">
        <v>1149</v>
      </c>
      <c r="N21" s="2" t="s">
        <v>1121</v>
      </c>
      <c r="O21" s="2" t="s">
        <v>1150</v>
      </c>
      <c r="P21" s="2" t="s">
        <v>1111</v>
      </c>
      <c r="Q21" s="2" t="s">
        <v>1061</v>
      </c>
      <c r="R21" s="2" t="s">
        <v>1055</v>
      </c>
      <c r="S21" s="2" t="s">
        <v>1116</v>
      </c>
      <c r="T21" s="2" t="s">
        <v>104</v>
      </c>
      <c r="U21" s="3">
        <v>1700</v>
      </c>
      <c r="V21" s="2" t="s">
        <v>1151</v>
      </c>
      <c r="W21" s="42"/>
    </row>
    <row r="22" spans="1:23" x14ac:dyDescent="0.25">
      <c r="A22" s="24">
        <v>20</v>
      </c>
      <c r="B22" s="24" t="str">
        <f t="shared" si="0"/>
        <v>010100</v>
      </c>
      <c r="C22" s="2" t="s">
        <v>94</v>
      </c>
      <c r="D22" s="2" t="s">
        <v>812</v>
      </c>
      <c r="E22" s="2" t="s">
        <v>1152</v>
      </c>
      <c r="F22" s="2" t="s">
        <v>282</v>
      </c>
      <c r="G22" s="2" t="s">
        <v>1097</v>
      </c>
      <c r="H22" s="2" t="s">
        <v>750</v>
      </c>
      <c r="I22" s="2" t="s">
        <v>1098</v>
      </c>
      <c r="J22" s="32">
        <v>45689</v>
      </c>
      <c r="K22" s="2" t="s">
        <v>1153</v>
      </c>
      <c r="L22" s="2" t="s">
        <v>1074</v>
      </c>
      <c r="M22" s="2" t="s">
        <v>1110</v>
      </c>
      <c r="N22" s="2" t="s">
        <v>1140</v>
      </c>
      <c r="O22" s="2" t="s">
        <v>1150</v>
      </c>
      <c r="P22" s="2" t="s">
        <v>1111</v>
      </c>
      <c r="Q22" s="2" t="s">
        <v>1061</v>
      </c>
      <c r="R22" s="2" t="s">
        <v>1037</v>
      </c>
      <c r="S22" s="2" t="s">
        <v>1116</v>
      </c>
      <c r="T22" s="2" t="s">
        <v>104</v>
      </c>
      <c r="U22" s="3">
        <v>1750</v>
      </c>
      <c r="V22" s="2" t="s">
        <v>1154</v>
      </c>
      <c r="W22" s="42"/>
    </row>
    <row r="23" spans="1:23" x14ac:dyDescent="0.25">
      <c r="A23" s="24">
        <v>21</v>
      </c>
      <c r="B23" s="24" t="str">
        <f t="shared" si="0"/>
        <v>010101</v>
      </c>
      <c r="C23" s="2" t="s">
        <v>116</v>
      </c>
      <c r="D23" s="2" t="s">
        <v>827</v>
      </c>
      <c r="E23" s="2" t="s">
        <v>1155</v>
      </c>
      <c r="F23" s="2" t="s">
        <v>282</v>
      </c>
      <c r="G23" s="2" t="s">
        <v>1097</v>
      </c>
      <c r="H23" s="2" t="s">
        <v>1156</v>
      </c>
      <c r="I23" s="2" t="s">
        <v>1120</v>
      </c>
      <c r="J23" s="32">
        <v>45690</v>
      </c>
      <c r="K23" s="2" t="s">
        <v>1157</v>
      </c>
      <c r="L23" s="2" t="s">
        <v>1109</v>
      </c>
      <c r="M23" s="2" t="s">
        <v>1158</v>
      </c>
      <c r="N23" s="2" t="s">
        <v>1091</v>
      </c>
      <c r="O23" s="2" t="s">
        <v>1092</v>
      </c>
      <c r="P23" s="2" t="s">
        <v>1111</v>
      </c>
      <c r="Q23" s="2" t="s">
        <v>1061</v>
      </c>
      <c r="R23" s="2" t="s">
        <v>1055</v>
      </c>
      <c r="S23" s="2" t="s">
        <v>1116</v>
      </c>
      <c r="T23" s="2" t="s">
        <v>104</v>
      </c>
      <c r="U23" s="3">
        <v>1800</v>
      </c>
      <c r="V23" s="2" t="s">
        <v>1159</v>
      </c>
      <c r="W23" s="42"/>
    </row>
    <row r="24" spans="1:23" x14ac:dyDescent="0.25">
      <c r="A24" s="24">
        <v>22</v>
      </c>
      <c r="B24" s="24" t="str">
        <f t="shared" si="0"/>
        <v>010110</v>
      </c>
      <c r="C24" s="2" t="s">
        <v>94</v>
      </c>
      <c r="D24" s="2" t="s">
        <v>106</v>
      </c>
      <c r="E24" s="2" t="s">
        <v>1160</v>
      </c>
      <c r="F24" s="2" t="s">
        <v>282</v>
      </c>
      <c r="G24" s="2" t="s">
        <v>1097</v>
      </c>
      <c r="H24" s="2" t="s">
        <v>750</v>
      </c>
      <c r="I24" s="2" t="s">
        <v>1120</v>
      </c>
      <c r="J24" s="32">
        <v>45690</v>
      </c>
      <c r="K24" s="2" t="s">
        <v>1088</v>
      </c>
      <c r="L24" s="2" t="s">
        <v>1130</v>
      </c>
      <c r="M24" s="2" t="s">
        <v>1110</v>
      </c>
      <c r="N24" s="2" t="s">
        <v>1140</v>
      </c>
      <c r="O24" s="2" t="s">
        <v>1150</v>
      </c>
      <c r="P24" s="2" t="s">
        <v>1111</v>
      </c>
      <c r="Q24" s="2" t="s">
        <v>1061</v>
      </c>
      <c r="R24" s="2" t="s">
        <v>1037</v>
      </c>
      <c r="S24" s="2" t="s">
        <v>1161</v>
      </c>
      <c r="T24" s="2" t="s">
        <v>104</v>
      </c>
      <c r="U24" s="3">
        <v>1800</v>
      </c>
      <c r="V24" s="2" t="s">
        <v>1162</v>
      </c>
      <c r="W24" s="42"/>
    </row>
    <row r="25" spans="1:23" x14ac:dyDescent="0.25">
      <c r="A25" s="24">
        <v>23</v>
      </c>
      <c r="B25" s="24" t="str">
        <f t="shared" si="0"/>
        <v>010111</v>
      </c>
      <c r="C25" s="2" t="s">
        <v>109</v>
      </c>
      <c r="D25" s="2" t="s">
        <v>1127</v>
      </c>
      <c r="E25" s="2" t="s">
        <v>1163</v>
      </c>
      <c r="F25" s="2" t="s">
        <v>282</v>
      </c>
      <c r="G25" s="2" t="s">
        <v>1097</v>
      </c>
      <c r="H25" s="2" t="s">
        <v>1119</v>
      </c>
      <c r="I25" s="2" t="s">
        <v>1098</v>
      </c>
      <c r="J25" s="32">
        <v>45749</v>
      </c>
      <c r="K25" s="2" t="s">
        <v>1129</v>
      </c>
      <c r="L25" s="2" t="s">
        <v>1130</v>
      </c>
      <c r="M25" s="2" t="s">
        <v>1104</v>
      </c>
      <c r="N25" s="2" t="s">
        <v>1091</v>
      </c>
      <c r="O25" s="2" t="s">
        <v>1092</v>
      </c>
      <c r="P25" s="2" t="s">
        <v>1111</v>
      </c>
      <c r="Q25" s="2" t="s">
        <v>1061</v>
      </c>
      <c r="R25" s="2" t="s">
        <v>1037</v>
      </c>
      <c r="S25" s="2" t="s">
        <v>1116</v>
      </c>
      <c r="T25" s="2" t="s">
        <v>104</v>
      </c>
      <c r="U25" s="3">
        <v>1900</v>
      </c>
      <c r="V25" s="2" t="s">
        <v>1164</v>
      </c>
      <c r="W25" s="42"/>
    </row>
    <row r="26" spans="1:23" x14ac:dyDescent="0.25">
      <c r="A26" s="24">
        <v>24</v>
      </c>
      <c r="B26" s="24" t="str">
        <f t="shared" si="0"/>
        <v>011000</v>
      </c>
      <c r="C26" s="2" t="s">
        <v>288</v>
      </c>
      <c r="D26" s="2" t="s">
        <v>1165</v>
      </c>
      <c r="E26" s="2" t="s">
        <v>1166</v>
      </c>
      <c r="F26" s="2" t="s">
        <v>282</v>
      </c>
      <c r="G26" s="2" t="s">
        <v>1137</v>
      </c>
      <c r="H26" s="2" t="s">
        <v>1167</v>
      </c>
      <c r="I26" s="2" t="s">
        <v>1120</v>
      </c>
      <c r="J26" s="32">
        <v>45690</v>
      </c>
      <c r="K26" s="2" t="s">
        <v>1168</v>
      </c>
      <c r="L26" s="2" t="s">
        <v>1060</v>
      </c>
      <c r="M26" s="2" t="s">
        <v>1169</v>
      </c>
      <c r="N26" s="2" t="s">
        <v>1091</v>
      </c>
      <c r="O26" s="2" t="s">
        <v>1150</v>
      </c>
      <c r="P26" s="2" t="s">
        <v>1111</v>
      </c>
      <c r="Q26" s="2" t="s">
        <v>1061</v>
      </c>
      <c r="R26" s="2" t="s">
        <v>1170</v>
      </c>
      <c r="S26" s="2" t="s">
        <v>1116</v>
      </c>
      <c r="T26" s="2" t="s">
        <v>104</v>
      </c>
      <c r="U26" s="3">
        <v>2000</v>
      </c>
      <c r="V26" s="2" t="s">
        <v>1171</v>
      </c>
      <c r="W26" s="42"/>
    </row>
    <row r="27" spans="1:23" x14ac:dyDescent="0.25">
      <c r="A27" s="24">
        <v>25</v>
      </c>
      <c r="B27" s="24" t="str">
        <f t="shared" si="0"/>
        <v>011001</v>
      </c>
      <c r="C27" s="2" t="s">
        <v>109</v>
      </c>
      <c r="D27" s="2" t="s">
        <v>740</v>
      </c>
      <c r="E27" s="2" t="s">
        <v>1172</v>
      </c>
      <c r="F27" s="2" t="s">
        <v>282</v>
      </c>
      <c r="G27" s="2" t="s">
        <v>1137</v>
      </c>
      <c r="H27" s="2" t="s">
        <v>1119</v>
      </c>
      <c r="I27" s="2" t="s">
        <v>1138</v>
      </c>
      <c r="J27" s="32">
        <v>45718</v>
      </c>
      <c r="K27" s="2" t="s">
        <v>1124</v>
      </c>
      <c r="L27" s="2" t="s">
        <v>1074</v>
      </c>
      <c r="M27" s="2" t="s">
        <v>1173</v>
      </c>
      <c r="N27" s="2" t="s">
        <v>1121</v>
      </c>
      <c r="O27" s="2" t="s">
        <v>1150</v>
      </c>
      <c r="P27" s="2" t="s">
        <v>1111</v>
      </c>
      <c r="Q27" s="2" t="s">
        <v>1061</v>
      </c>
      <c r="R27" s="2" t="s">
        <v>1055</v>
      </c>
      <c r="S27" s="2" t="s">
        <v>1116</v>
      </c>
      <c r="T27" s="2" t="s">
        <v>104</v>
      </c>
      <c r="U27" s="3">
        <v>2000</v>
      </c>
      <c r="V27" s="2" t="s">
        <v>1174</v>
      </c>
      <c r="W27" s="42"/>
    </row>
    <row r="28" spans="1:23" x14ac:dyDescent="0.25">
      <c r="A28" s="24">
        <v>26</v>
      </c>
      <c r="B28" s="24" t="str">
        <f t="shared" si="0"/>
        <v>011010</v>
      </c>
      <c r="C28" s="2" t="s">
        <v>109</v>
      </c>
      <c r="D28" s="2" t="s">
        <v>827</v>
      </c>
      <c r="E28" s="2" t="s">
        <v>1175</v>
      </c>
      <c r="F28" s="2" t="s">
        <v>282</v>
      </c>
      <c r="G28" s="2" t="s">
        <v>1137</v>
      </c>
      <c r="H28" s="2" t="s">
        <v>1176</v>
      </c>
      <c r="I28" s="2" t="s">
        <v>1138</v>
      </c>
      <c r="J28" s="32">
        <v>45810</v>
      </c>
      <c r="K28" s="2" t="s">
        <v>1177</v>
      </c>
      <c r="L28" s="2" t="s">
        <v>1099</v>
      </c>
      <c r="M28" s="2" t="s">
        <v>1178</v>
      </c>
      <c r="N28" s="2" t="s">
        <v>1121</v>
      </c>
      <c r="O28" s="2" t="s">
        <v>1179</v>
      </c>
      <c r="P28" s="2" t="s">
        <v>1180</v>
      </c>
      <c r="Q28" s="2" t="s">
        <v>1061</v>
      </c>
      <c r="R28" s="2" t="s">
        <v>1055</v>
      </c>
      <c r="S28" s="2" t="s">
        <v>1116</v>
      </c>
      <c r="T28" s="2" t="s">
        <v>104</v>
      </c>
      <c r="U28" s="3">
        <v>2100</v>
      </c>
      <c r="V28" s="2" t="s">
        <v>1181</v>
      </c>
      <c r="W28" s="42"/>
    </row>
    <row r="29" spans="1:23" x14ac:dyDescent="0.25">
      <c r="A29" s="24">
        <v>27</v>
      </c>
      <c r="B29" s="24" t="str">
        <f t="shared" si="0"/>
        <v>011011</v>
      </c>
      <c r="C29" s="2" t="s">
        <v>116</v>
      </c>
      <c r="D29" s="2" t="s">
        <v>812</v>
      </c>
      <c r="E29" s="2" t="s">
        <v>1182</v>
      </c>
      <c r="F29" s="2" t="s">
        <v>282</v>
      </c>
      <c r="G29" s="2" t="s">
        <v>1097</v>
      </c>
      <c r="H29" s="2" t="s">
        <v>1183</v>
      </c>
      <c r="I29" s="2" t="s">
        <v>1184</v>
      </c>
      <c r="J29" s="32">
        <v>45689</v>
      </c>
      <c r="K29" s="2" t="s">
        <v>1153</v>
      </c>
      <c r="L29" s="2" t="s">
        <v>1185</v>
      </c>
      <c r="M29" s="2" t="s">
        <v>1115</v>
      </c>
      <c r="N29" s="2" t="s">
        <v>1121</v>
      </c>
      <c r="O29" s="2" t="s">
        <v>1150</v>
      </c>
      <c r="P29" s="2" t="s">
        <v>1111</v>
      </c>
      <c r="Q29" s="2" t="s">
        <v>1061</v>
      </c>
      <c r="R29" s="2" t="s">
        <v>1037</v>
      </c>
      <c r="S29" s="2" t="s">
        <v>1116</v>
      </c>
      <c r="T29" s="2" t="s">
        <v>104</v>
      </c>
      <c r="U29" s="3">
        <v>2200</v>
      </c>
      <c r="V29" s="2" t="s">
        <v>1186</v>
      </c>
      <c r="W29" s="42"/>
    </row>
    <row r="30" spans="1:23" x14ac:dyDescent="0.25">
      <c r="A30" s="24">
        <v>28</v>
      </c>
      <c r="B30" s="24" t="str">
        <f t="shared" si="0"/>
        <v>011100</v>
      </c>
      <c r="C30" s="24" t="s">
        <v>116</v>
      </c>
      <c r="D30" s="24" t="s">
        <v>812</v>
      </c>
      <c r="E30" s="24" t="s">
        <v>1188</v>
      </c>
      <c r="F30" s="24" t="s">
        <v>282</v>
      </c>
      <c r="G30" s="24" t="s">
        <v>1137</v>
      </c>
      <c r="H30" s="24" t="s">
        <v>750</v>
      </c>
      <c r="I30" s="24" t="s">
        <v>1138</v>
      </c>
      <c r="J30" s="33">
        <v>45810</v>
      </c>
      <c r="K30" s="24" t="s">
        <v>1148</v>
      </c>
      <c r="L30" s="24" t="s">
        <v>1189</v>
      </c>
      <c r="M30" s="24" t="s">
        <v>1115</v>
      </c>
      <c r="N30" s="24" t="s">
        <v>1121</v>
      </c>
      <c r="O30" s="24" t="s">
        <v>1179</v>
      </c>
      <c r="P30" s="24" t="s">
        <v>1111</v>
      </c>
      <c r="Q30" s="24" t="s">
        <v>1061</v>
      </c>
      <c r="R30" s="24" t="s">
        <v>1037</v>
      </c>
      <c r="S30" s="24" t="s">
        <v>1116</v>
      </c>
      <c r="T30" s="24" t="s">
        <v>104</v>
      </c>
      <c r="U30" s="1">
        <v>2500</v>
      </c>
      <c r="V30" s="24" t="s">
        <v>1190</v>
      </c>
      <c r="W30" s="43" t="s">
        <v>1187</v>
      </c>
    </row>
    <row r="31" spans="1:23" x14ac:dyDescent="0.25">
      <c r="A31" s="24">
        <v>29</v>
      </c>
      <c r="B31" s="24" t="str">
        <f t="shared" si="0"/>
        <v>011101</v>
      </c>
      <c r="C31" s="24" t="s">
        <v>116</v>
      </c>
      <c r="D31" s="24" t="s">
        <v>1127</v>
      </c>
      <c r="E31" s="24" t="s">
        <v>1191</v>
      </c>
      <c r="F31" s="24" t="s">
        <v>282</v>
      </c>
      <c r="G31" s="24" t="s">
        <v>1097</v>
      </c>
      <c r="H31" s="24" t="s">
        <v>1192</v>
      </c>
      <c r="I31" s="24" t="s">
        <v>1120</v>
      </c>
      <c r="J31" s="33">
        <v>45749</v>
      </c>
      <c r="K31" s="24" t="s">
        <v>1193</v>
      </c>
      <c r="L31" s="24" t="s">
        <v>1194</v>
      </c>
      <c r="M31" s="24" t="s">
        <v>1195</v>
      </c>
      <c r="N31" s="24" t="s">
        <v>1121</v>
      </c>
      <c r="O31" s="24" t="s">
        <v>1179</v>
      </c>
      <c r="P31" s="24" t="s">
        <v>1111</v>
      </c>
      <c r="Q31" s="24" t="s">
        <v>1061</v>
      </c>
      <c r="R31" s="24" t="s">
        <v>1037</v>
      </c>
      <c r="S31" s="24" t="s">
        <v>1116</v>
      </c>
      <c r="T31" s="24" t="s">
        <v>104</v>
      </c>
      <c r="U31" s="1">
        <v>3000</v>
      </c>
      <c r="V31" s="24" t="s">
        <v>1196</v>
      </c>
      <c r="W31" s="43"/>
    </row>
    <row r="32" spans="1:23" x14ac:dyDescent="0.25">
      <c r="A32" s="24">
        <v>30</v>
      </c>
      <c r="B32" s="24" t="str">
        <f t="shared" si="0"/>
        <v>011110</v>
      </c>
      <c r="C32" s="24" t="s">
        <v>116</v>
      </c>
      <c r="D32" s="24" t="s">
        <v>827</v>
      </c>
      <c r="E32" s="24" t="s">
        <v>1197</v>
      </c>
      <c r="F32" s="24" t="s">
        <v>282</v>
      </c>
      <c r="G32" s="24" t="s">
        <v>1137</v>
      </c>
      <c r="H32" s="24" t="s">
        <v>1147</v>
      </c>
      <c r="I32" s="24" t="s">
        <v>1198</v>
      </c>
      <c r="J32" s="33">
        <v>45873</v>
      </c>
      <c r="K32" s="24" t="s">
        <v>1199</v>
      </c>
      <c r="L32" s="24" t="s">
        <v>1189</v>
      </c>
      <c r="M32" s="24" t="s">
        <v>1178</v>
      </c>
      <c r="N32" s="24" t="s">
        <v>1121</v>
      </c>
      <c r="O32" s="24" t="s">
        <v>1179</v>
      </c>
      <c r="P32" s="24" t="s">
        <v>1111</v>
      </c>
      <c r="Q32" s="24" t="s">
        <v>1200</v>
      </c>
      <c r="R32" s="24" t="s">
        <v>1055</v>
      </c>
      <c r="S32" s="24" t="s">
        <v>1201</v>
      </c>
      <c r="T32" s="24" t="s">
        <v>104</v>
      </c>
      <c r="U32" s="1">
        <v>3200</v>
      </c>
      <c r="V32" s="24" t="s">
        <v>1202</v>
      </c>
      <c r="W32" s="43"/>
    </row>
    <row r="33" spans="1:23" x14ac:dyDescent="0.25">
      <c r="A33" s="24">
        <v>31</v>
      </c>
      <c r="B33" s="24" t="str">
        <f t="shared" si="0"/>
        <v>011111</v>
      </c>
      <c r="C33" s="24" t="s">
        <v>116</v>
      </c>
      <c r="D33" s="24" t="s">
        <v>106</v>
      </c>
      <c r="E33" s="24" t="s">
        <v>1203</v>
      </c>
      <c r="F33" s="24" t="s">
        <v>282</v>
      </c>
      <c r="G33" s="24" t="s">
        <v>1137</v>
      </c>
      <c r="H33" s="24" t="s">
        <v>750</v>
      </c>
      <c r="I33" s="24" t="s">
        <v>1204</v>
      </c>
      <c r="J33" s="33">
        <v>45749</v>
      </c>
      <c r="K33" s="24" t="s">
        <v>1168</v>
      </c>
      <c r="L33" s="24" t="s">
        <v>1130</v>
      </c>
      <c r="M33" s="24" t="s">
        <v>1205</v>
      </c>
      <c r="N33" s="24" t="s">
        <v>1121</v>
      </c>
      <c r="O33" s="24" t="s">
        <v>1179</v>
      </c>
      <c r="P33" s="24" t="s">
        <v>1111</v>
      </c>
      <c r="Q33" s="24" t="s">
        <v>1061</v>
      </c>
      <c r="R33" s="24" t="s">
        <v>1037</v>
      </c>
      <c r="S33" s="24" t="s">
        <v>1161</v>
      </c>
      <c r="T33" s="24" t="s">
        <v>104</v>
      </c>
      <c r="U33" s="1">
        <v>3300</v>
      </c>
      <c r="V33" s="24" t="s">
        <v>1206</v>
      </c>
      <c r="W33" s="43"/>
    </row>
    <row r="34" spans="1:23" x14ac:dyDescent="0.25">
      <c r="A34" s="24">
        <v>32</v>
      </c>
      <c r="B34" s="24" t="str">
        <f t="shared" si="0"/>
        <v>100000</v>
      </c>
      <c r="C34" s="24" t="s">
        <v>116</v>
      </c>
      <c r="D34" s="24" t="s">
        <v>875</v>
      </c>
      <c r="E34" s="24" t="s">
        <v>1207</v>
      </c>
      <c r="F34" s="24" t="s">
        <v>282</v>
      </c>
      <c r="G34" s="24" t="s">
        <v>1137</v>
      </c>
      <c r="H34" s="24" t="s">
        <v>1208</v>
      </c>
      <c r="I34" s="24" t="s">
        <v>1138</v>
      </c>
      <c r="J34" s="33">
        <v>45810</v>
      </c>
      <c r="K34" s="24" t="s">
        <v>1088</v>
      </c>
      <c r="L34" s="24" t="s">
        <v>1139</v>
      </c>
      <c r="M34" s="24" t="s">
        <v>1178</v>
      </c>
      <c r="N34" s="24" t="s">
        <v>1121</v>
      </c>
      <c r="O34" s="24" t="s">
        <v>1150</v>
      </c>
      <c r="P34" s="24" t="s">
        <v>1111</v>
      </c>
      <c r="Q34" s="24" t="s">
        <v>1061</v>
      </c>
      <c r="R34" s="24" t="s">
        <v>1055</v>
      </c>
      <c r="S34" s="24" t="s">
        <v>1209</v>
      </c>
      <c r="T34" s="24" t="s">
        <v>104</v>
      </c>
      <c r="U34" s="1">
        <v>3500</v>
      </c>
      <c r="V34" s="24" t="s">
        <v>1210</v>
      </c>
      <c r="W34" s="43"/>
    </row>
    <row r="35" spans="1:23" x14ac:dyDescent="0.25">
      <c r="A35" s="24">
        <v>33</v>
      </c>
      <c r="B35" s="24" t="str">
        <f t="shared" si="0"/>
        <v>100001</v>
      </c>
      <c r="C35" s="24" t="s">
        <v>109</v>
      </c>
      <c r="D35" s="24" t="s">
        <v>827</v>
      </c>
      <c r="E35" s="24" t="s">
        <v>1211</v>
      </c>
      <c r="F35" s="24" t="s">
        <v>282</v>
      </c>
      <c r="G35" s="24" t="s">
        <v>1137</v>
      </c>
      <c r="H35" s="24">
        <v>0</v>
      </c>
      <c r="I35" s="24" t="s">
        <v>1212</v>
      </c>
      <c r="J35" s="24" t="s">
        <v>1213</v>
      </c>
      <c r="K35" s="24" t="s">
        <v>1199</v>
      </c>
      <c r="L35" s="24" t="s">
        <v>1214</v>
      </c>
      <c r="M35" s="24" t="s">
        <v>1178</v>
      </c>
      <c r="N35" s="24" t="s">
        <v>1121</v>
      </c>
      <c r="O35" s="24" t="s">
        <v>1179</v>
      </c>
      <c r="P35" s="24" t="s">
        <v>1215</v>
      </c>
      <c r="Q35" s="24" t="s">
        <v>1216</v>
      </c>
      <c r="R35" s="24" t="s">
        <v>1037</v>
      </c>
      <c r="S35" s="24" t="s">
        <v>1201</v>
      </c>
      <c r="T35" s="24" t="s">
        <v>104</v>
      </c>
      <c r="U35" s="24" t="s">
        <v>829</v>
      </c>
      <c r="V35" s="24" t="s">
        <v>1217</v>
      </c>
      <c r="W35" s="43"/>
    </row>
    <row r="36" spans="1:23" x14ac:dyDescent="0.25">
      <c r="A36" s="24">
        <v>34</v>
      </c>
      <c r="B36" s="24" t="str">
        <f t="shared" si="0"/>
        <v>100010</v>
      </c>
      <c r="C36" s="24" t="s">
        <v>288</v>
      </c>
      <c r="D36" s="24" t="s">
        <v>812</v>
      </c>
      <c r="E36" s="24" t="s">
        <v>1218</v>
      </c>
      <c r="F36" s="24" t="s">
        <v>282</v>
      </c>
      <c r="G36" s="24" t="s">
        <v>1097</v>
      </c>
      <c r="H36" s="24" t="s">
        <v>1219</v>
      </c>
      <c r="I36" s="24" t="s">
        <v>1212</v>
      </c>
      <c r="J36" s="33">
        <v>45810</v>
      </c>
      <c r="K36" s="24" t="s">
        <v>1199</v>
      </c>
      <c r="L36" s="24" t="s">
        <v>1074</v>
      </c>
      <c r="M36" s="24" t="s">
        <v>1115</v>
      </c>
      <c r="N36" s="24" t="s">
        <v>1121</v>
      </c>
      <c r="O36" s="24" t="s">
        <v>1179</v>
      </c>
      <c r="P36" s="24" t="s">
        <v>1111</v>
      </c>
      <c r="Q36" s="24" t="s">
        <v>1200</v>
      </c>
      <c r="R36" s="24" t="s">
        <v>1037</v>
      </c>
      <c r="S36" s="24" t="s">
        <v>1116</v>
      </c>
      <c r="T36" s="24" t="s">
        <v>104</v>
      </c>
      <c r="U36" s="1">
        <v>3600</v>
      </c>
      <c r="V36" s="24" t="s">
        <v>1220</v>
      </c>
      <c r="W36" s="43"/>
    </row>
    <row r="37" spans="1:23" x14ac:dyDescent="0.25">
      <c r="A37" s="24">
        <v>35</v>
      </c>
      <c r="B37" s="24" t="str">
        <f t="shared" si="0"/>
        <v>100011</v>
      </c>
      <c r="C37" s="24" t="s">
        <v>116</v>
      </c>
      <c r="D37" s="24" t="s">
        <v>1127</v>
      </c>
      <c r="E37" s="24" t="s">
        <v>1221</v>
      </c>
      <c r="F37" s="24" t="s">
        <v>282</v>
      </c>
      <c r="G37" s="24" t="s">
        <v>1137</v>
      </c>
      <c r="H37" s="24" t="s">
        <v>1192</v>
      </c>
      <c r="I37" s="24" t="s">
        <v>1198</v>
      </c>
      <c r="J37" s="24" t="s">
        <v>1222</v>
      </c>
      <c r="K37" s="24" t="s">
        <v>1223</v>
      </c>
      <c r="L37" s="24" t="s">
        <v>1189</v>
      </c>
      <c r="M37" s="24" t="s">
        <v>1224</v>
      </c>
      <c r="N37" s="24" t="s">
        <v>1121</v>
      </c>
      <c r="O37" s="24" t="s">
        <v>1179</v>
      </c>
      <c r="P37" s="24" t="s">
        <v>1111</v>
      </c>
      <c r="Q37" s="24" t="s">
        <v>1061</v>
      </c>
      <c r="R37" s="24" t="s">
        <v>1037</v>
      </c>
      <c r="S37" s="24" t="s">
        <v>1161</v>
      </c>
      <c r="T37" s="24" t="s">
        <v>104</v>
      </c>
      <c r="U37" s="1">
        <v>3800</v>
      </c>
      <c r="V37" s="24" t="s">
        <v>1225</v>
      </c>
      <c r="W37" s="43"/>
    </row>
    <row r="38" spans="1:23" x14ac:dyDescent="0.25">
      <c r="A38" s="24">
        <v>36</v>
      </c>
      <c r="B38" s="24" t="str">
        <f t="shared" si="0"/>
        <v>100100</v>
      </c>
      <c r="C38" s="24" t="s">
        <v>288</v>
      </c>
      <c r="D38" s="24" t="s">
        <v>775</v>
      </c>
      <c r="E38" s="24" t="s">
        <v>1226</v>
      </c>
      <c r="F38" s="24" t="s">
        <v>282</v>
      </c>
      <c r="G38" s="24" t="s">
        <v>1137</v>
      </c>
      <c r="H38" s="24" t="s">
        <v>1192</v>
      </c>
      <c r="I38" s="24" t="s">
        <v>1198</v>
      </c>
      <c r="J38" s="33">
        <v>45841</v>
      </c>
      <c r="K38" s="24" t="s">
        <v>1227</v>
      </c>
      <c r="L38" s="24" t="s">
        <v>1189</v>
      </c>
      <c r="M38" s="24" t="s">
        <v>1228</v>
      </c>
      <c r="N38" s="24" t="s">
        <v>1121</v>
      </c>
      <c r="O38" s="24" t="s">
        <v>1179</v>
      </c>
      <c r="P38" s="24" t="s">
        <v>1111</v>
      </c>
      <c r="Q38" s="24" t="s">
        <v>1229</v>
      </c>
      <c r="R38" s="24" t="s">
        <v>1037</v>
      </c>
      <c r="S38" s="24" t="s">
        <v>1161</v>
      </c>
      <c r="T38" s="24" t="s">
        <v>104</v>
      </c>
      <c r="U38" s="1">
        <v>4000</v>
      </c>
      <c r="V38" s="24" t="s">
        <v>1230</v>
      </c>
      <c r="W38" s="43"/>
    </row>
    <row r="39" spans="1:23" x14ac:dyDescent="0.25">
      <c r="A39" s="24">
        <v>37</v>
      </c>
      <c r="B39" s="24" t="str">
        <f t="shared" si="0"/>
        <v>100101</v>
      </c>
      <c r="C39" s="24" t="s">
        <v>288</v>
      </c>
      <c r="D39" s="24" t="s">
        <v>1127</v>
      </c>
      <c r="E39" s="24" t="s">
        <v>1231</v>
      </c>
      <c r="F39" s="24" t="s">
        <v>282</v>
      </c>
      <c r="G39" s="24" t="s">
        <v>1137</v>
      </c>
      <c r="H39" s="24" t="s">
        <v>1192</v>
      </c>
      <c r="I39" s="24" t="s">
        <v>1198</v>
      </c>
      <c r="J39" s="24" t="s">
        <v>1232</v>
      </c>
      <c r="K39" s="24" t="s">
        <v>1233</v>
      </c>
      <c r="L39" s="24" t="s">
        <v>1189</v>
      </c>
      <c r="M39" s="24" t="s">
        <v>1224</v>
      </c>
      <c r="N39" s="24" t="s">
        <v>1234</v>
      </c>
      <c r="O39" s="24" t="s">
        <v>1179</v>
      </c>
      <c r="P39" s="24" t="s">
        <v>1111</v>
      </c>
      <c r="Q39" s="24" t="s">
        <v>1235</v>
      </c>
      <c r="R39" s="24" t="s">
        <v>1037</v>
      </c>
      <c r="S39" s="24" t="s">
        <v>1161</v>
      </c>
      <c r="T39" s="24" t="s">
        <v>104</v>
      </c>
      <c r="U39" s="1">
        <v>4500</v>
      </c>
      <c r="V39" s="24" t="s">
        <v>1236</v>
      </c>
      <c r="W39" s="43"/>
    </row>
    <row r="40" spans="1:23" x14ac:dyDescent="0.25">
      <c r="A40" s="24">
        <v>38</v>
      </c>
      <c r="B40" s="24" t="str">
        <f t="shared" si="0"/>
        <v>100110</v>
      </c>
      <c r="C40" s="24" t="s">
        <v>288</v>
      </c>
      <c r="D40" s="24" t="s">
        <v>280</v>
      </c>
      <c r="E40" s="24" t="s">
        <v>1237</v>
      </c>
      <c r="F40" s="24" t="s">
        <v>282</v>
      </c>
      <c r="G40" s="24" t="s">
        <v>1137</v>
      </c>
      <c r="H40" s="24" t="s">
        <v>1238</v>
      </c>
      <c r="I40" s="24" t="s">
        <v>1198</v>
      </c>
      <c r="J40" s="33">
        <v>45749</v>
      </c>
      <c r="K40" s="24" t="s">
        <v>1239</v>
      </c>
      <c r="L40" s="24" t="s">
        <v>1240</v>
      </c>
      <c r="M40" s="24" t="s">
        <v>1178</v>
      </c>
      <c r="N40" s="24" t="s">
        <v>1241</v>
      </c>
      <c r="O40" s="24" t="s">
        <v>1179</v>
      </c>
      <c r="P40" s="24" t="s">
        <v>1111</v>
      </c>
      <c r="Q40" s="24" t="s">
        <v>1242</v>
      </c>
      <c r="R40" s="24" t="s">
        <v>1243</v>
      </c>
      <c r="S40" s="24" t="s">
        <v>1244</v>
      </c>
      <c r="T40" s="24" t="s">
        <v>104</v>
      </c>
      <c r="U40" s="1">
        <v>6000</v>
      </c>
      <c r="V40" s="24" t="s">
        <v>1245</v>
      </c>
      <c r="W40" s="43"/>
    </row>
    <row r="41" spans="1:23" x14ac:dyDescent="0.25">
      <c r="A41" s="24">
        <v>39</v>
      </c>
      <c r="B41" s="24" t="str">
        <f t="shared" si="0"/>
        <v>100111</v>
      </c>
      <c r="C41" s="2" t="s">
        <v>447</v>
      </c>
      <c r="D41" s="2" t="s">
        <v>740</v>
      </c>
      <c r="E41" s="2" t="s">
        <v>1247</v>
      </c>
      <c r="F41" s="2" t="s">
        <v>286</v>
      </c>
      <c r="G41" s="2" t="s">
        <v>1248</v>
      </c>
      <c r="H41" s="2" t="s">
        <v>750</v>
      </c>
      <c r="I41" s="2" t="s">
        <v>1249</v>
      </c>
      <c r="J41" s="32">
        <v>45689</v>
      </c>
      <c r="K41" s="2" t="s">
        <v>1103</v>
      </c>
      <c r="L41" s="2" t="s">
        <v>1250</v>
      </c>
      <c r="M41" s="2" t="s">
        <v>1251</v>
      </c>
      <c r="N41" s="2" t="s">
        <v>1091</v>
      </c>
      <c r="O41" s="2" t="s">
        <v>1150</v>
      </c>
      <c r="P41" s="2" t="s">
        <v>1111</v>
      </c>
      <c r="Q41" s="2" t="s">
        <v>1252</v>
      </c>
      <c r="R41" s="2" t="s">
        <v>1037</v>
      </c>
      <c r="S41" s="2" t="s">
        <v>1253</v>
      </c>
      <c r="T41" s="2" t="s">
        <v>104</v>
      </c>
      <c r="U41" s="3">
        <v>2000</v>
      </c>
      <c r="V41" s="2" t="s">
        <v>1254</v>
      </c>
      <c r="W41" s="42" t="s">
        <v>1246</v>
      </c>
    </row>
    <row r="42" spans="1:23" x14ac:dyDescent="0.25">
      <c r="A42" s="24">
        <v>40</v>
      </c>
      <c r="B42" s="24" t="str">
        <f t="shared" si="0"/>
        <v>101000</v>
      </c>
      <c r="C42" s="2" t="s">
        <v>440</v>
      </c>
      <c r="D42" s="2" t="s">
        <v>827</v>
      </c>
      <c r="E42" s="2" t="s">
        <v>1255</v>
      </c>
      <c r="F42" s="2" t="s">
        <v>286</v>
      </c>
      <c r="G42" s="2" t="s">
        <v>286</v>
      </c>
      <c r="H42" s="2">
        <v>0</v>
      </c>
      <c r="I42" s="2" t="s">
        <v>1256</v>
      </c>
      <c r="J42" s="2" t="s">
        <v>1257</v>
      </c>
      <c r="K42" s="2" t="s">
        <v>1258</v>
      </c>
      <c r="L42" s="2" t="s">
        <v>1259</v>
      </c>
      <c r="M42" s="2" t="s">
        <v>1251</v>
      </c>
      <c r="N42" s="2" t="s">
        <v>1140</v>
      </c>
      <c r="O42" s="2" t="s">
        <v>1092</v>
      </c>
      <c r="P42" s="2" t="s">
        <v>1260</v>
      </c>
      <c r="Q42" s="2" t="s">
        <v>1261</v>
      </c>
      <c r="R42" s="2" t="s">
        <v>14</v>
      </c>
      <c r="S42" s="2" t="s">
        <v>1253</v>
      </c>
      <c r="T42" s="2" t="s">
        <v>104</v>
      </c>
      <c r="U42" s="3">
        <v>3000</v>
      </c>
      <c r="V42" s="2" t="s">
        <v>1262</v>
      </c>
      <c r="W42" s="42"/>
    </row>
    <row r="43" spans="1:23" x14ac:dyDescent="0.25">
      <c r="A43" s="24">
        <v>41</v>
      </c>
      <c r="B43" s="24" t="str">
        <f t="shared" si="0"/>
        <v>101001</v>
      </c>
      <c r="C43" s="2" t="s">
        <v>440</v>
      </c>
      <c r="D43" s="2" t="s">
        <v>812</v>
      </c>
      <c r="E43" s="2" t="s">
        <v>1263</v>
      </c>
      <c r="F43" s="2" t="s">
        <v>286</v>
      </c>
      <c r="G43" s="2" t="s">
        <v>286</v>
      </c>
      <c r="H43" s="2" t="s">
        <v>1264</v>
      </c>
      <c r="I43" s="2" t="s">
        <v>1265</v>
      </c>
      <c r="J43" s="2" t="s">
        <v>1266</v>
      </c>
      <c r="K43" s="2" t="s">
        <v>1267</v>
      </c>
      <c r="L43" s="2" t="s">
        <v>1268</v>
      </c>
      <c r="M43" s="2" t="s">
        <v>1269</v>
      </c>
      <c r="N43" s="2" t="s">
        <v>1121</v>
      </c>
      <c r="O43" s="2" t="s">
        <v>1092</v>
      </c>
      <c r="P43" s="2" t="s">
        <v>1111</v>
      </c>
      <c r="Q43" s="2" t="s">
        <v>1252</v>
      </c>
      <c r="R43" s="2" t="s">
        <v>14</v>
      </c>
      <c r="S43" s="2" t="s">
        <v>1270</v>
      </c>
      <c r="T43" s="2" t="s">
        <v>104</v>
      </c>
      <c r="U43" s="3">
        <v>4500</v>
      </c>
      <c r="V43" s="2" t="s">
        <v>1271</v>
      </c>
      <c r="W43" s="42"/>
    </row>
    <row r="44" spans="1:23" x14ac:dyDescent="0.25">
      <c r="A44" s="24">
        <v>42</v>
      </c>
      <c r="B44" s="24" t="str">
        <f t="shared" si="0"/>
        <v>101010</v>
      </c>
      <c r="C44" s="24" t="s">
        <v>440</v>
      </c>
      <c r="D44" s="24" t="s">
        <v>1127</v>
      </c>
      <c r="E44" s="24" t="s">
        <v>1273</v>
      </c>
      <c r="F44" s="24" t="s">
        <v>1274</v>
      </c>
      <c r="G44" s="24" t="s">
        <v>1137</v>
      </c>
      <c r="H44" s="24" t="s">
        <v>1192</v>
      </c>
      <c r="I44" s="24" t="s">
        <v>1275</v>
      </c>
      <c r="J44" s="24" t="s">
        <v>1232</v>
      </c>
      <c r="K44" s="24" t="s">
        <v>1276</v>
      </c>
      <c r="L44" s="24" t="s">
        <v>1189</v>
      </c>
      <c r="M44" s="24" t="s">
        <v>1224</v>
      </c>
      <c r="N44" s="24" t="s">
        <v>1234</v>
      </c>
      <c r="O44" s="24" t="s">
        <v>1179</v>
      </c>
      <c r="P44" s="24" t="s">
        <v>1111</v>
      </c>
      <c r="Q44" s="24" t="s">
        <v>1061</v>
      </c>
      <c r="R44" s="24" t="s">
        <v>1037</v>
      </c>
      <c r="S44" s="24" t="s">
        <v>1277</v>
      </c>
      <c r="T44" s="24" t="s">
        <v>104</v>
      </c>
      <c r="U44" s="1">
        <v>5000</v>
      </c>
      <c r="V44" s="24" t="s">
        <v>1278</v>
      </c>
      <c r="W44" s="43" t="s">
        <v>1272</v>
      </c>
    </row>
    <row r="45" spans="1:23" x14ac:dyDescent="0.25">
      <c r="A45" s="24">
        <v>43</v>
      </c>
      <c r="B45" s="24" t="str">
        <f t="shared" si="0"/>
        <v>101011</v>
      </c>
      <c r="C45" s="24" t="s">
        <v>440</v>
      </c>
      <c r="D45" s="24" t="s">
        <v>106</v>
      </c>
      <c r="E45" s="24" t="s">
        <v>1279</v>
      </c>
      <c r="F45" s="24" t="s">
        <v>1274</v>
      </c>
      <c r="G45" s="24" t="s">
        <v>1137</v>
      </c>
      <c r="H45" s="24" t="s">
        <v>1192</v>
      </c>
      <c r="I45" s="24" t="s">
        <v>1280</v>
      </c>
      <c r="J45" s="33">
        <v>45753</v>
      </c>
      <c r="K45" s="24" t="s">
        <v>1239</v>
      </c>
      <c r="L45" s="24" t="s">
        <v>1240</v>
      </c>
      <c r="M45" s="24" t="s">
        <v>1281</v>
      </c>
      <c r="N45" s="24" t="s">
        <v>1241</v>
      </c>
      <c r="O45" s="24" t="s">
        <v>1179</v>
      </c>
      <c r="P45" s="24" t="s">
        <v>1111</v>
      </c>
      <c r="Q45" s="24" t="s">
        <v>1061</v>
      </c>
      <c r="R45" s="24" t="s">
        <v>1037</v>
      </c>
      <c r="S45" s="24" t="s">
        <v>1282</v>
      </c>
      <c r="T45" s="24" t="s">
        <v>104</v>
      </c>
      <c r="U45" s="1">
        <v>5500</v>
      </c>
      <c r="V45" s="24" t="s">
        <v>1283</v>
      </c>
      <c r="W45" s="43"/>
    </row>
    <row r="46" spans="1:23" x14ac:dyDescent="0.25">
      <c r="A46" s="24">
        <v>44</v>
      </c>
      <c r="B46" s="24" t="str">
        <f t="shared" si="0"/>
        <v>101100</v>
      </c>
      <c r="C46" s="24" t="s">
        <v>440</v>
      </c>
      <c r="D46" s="24" t="s">
        <v>827</v>
      </c>
      <c r="E46" s="24" t="s">
        <v>1284</v>
      </c>
      <c r="F46" s="24" t="s">
        <v>1274</v>
      </c>
      <c r="G46" s="24" t="s">
        <v>1285</v>
      </c>
      <c r="H46" s="24">
        <v>0</v>
      </c>
      <c r="I46" s="24" t="s">
        <v>1286</v>
      </c>
      <c r="J46" s="33">
        <v>45877</v>
      </c>
      <c r="K46" s="24" t="s">
        <v>1287</v>
      </c>
      <c r="L46" s="24" t="s">
        <v>1288</v>
      </c>
      <c r="M46" s="24" t="s">
        <v>1289</v>
      </c>
      <c r="N46" s="24" t="s">
        <v>1241</v>
      </c>
      <c r="O46" s="24" t="s">
        <v>1290</v>
      </c>
      <c r="P46" s="24" t="s">
        <v>1111</v>
      </c>
      <c r="Q46" s="24" t="s">
        <v>1200</v>
      </c>
      <c r="R46" s="24" t="s">
        <v>1055</v>
      </c>
      <c r="S46" s="24" t="s">
        <v>1291</v>
      </c>
      <c r="T46" s="24" t="s">
        <v>104</v>
      </c>
      <c r="U46" s="24" t="s">
        <v>1292</v>
      </c>
      <c r="V46" s="24" t="s">
        <v>1293</v>
      </c>
      <c r="W46" s="43"/>
    </row>
    <row r="47" spans="1:23" x14ac:dyDescent="0.25">
      <c r="A47" s="24">
        <v>45</v>
      </c>
      <c r="B47" s="24" t="str">
        <f t="shared" si="0"/>
        <v>101101</v>
      </c>
      <c r="C47" s="24" t="s">
        <v>440</v>
      </c>
      <c r="D47" s="24" t="s">
        <v>851</v>
      </c>
      <c r="E47" s="24" t="s">
        <v>1294</v>
      </c>
      <c r="F47" s="24" t="s">
        <v>282</v>
      </c>
      <c r="G47" s="24" t="s">
        <v>1137</v>
      </c>
      <c r="H47" s="24">
        <v>0</v>
      </c>
      <c r="I47" s="24" t="s">
        <v>1295</v>
      </c>
      <c r="J47" s="33">
        <v>45779</v>
      </c>
      <c r="K47" s="24" t="s">
        <v>1239</v>
      </c>
      <c r="L47" s="24" t="s">
        <v>1099</v>
      </c>
      <c r="M47" s="24" t="s">
        <v>1115</v>
      </c>
      <c r="N47" s="24" t="s">
        <v>1121</v>
      </c>
      <c r="O47" s="24" t="s">
        <v>1296</v>
      </c>
      <c r="P47" s="24" t="s">
        <v>1297</v>
      </c>
      <c r="Q47" s="24" t="s">
        <v>1061</v>
      </c>
      <c r="R47" s="24" t="s">
        <v>14</v>
      </c>
      <c r="S47" s="24" t="s">
        <v>1298</v>
      </c>
      <c r="T47" s="24" t="s">
        <v>104</v>
      </c>
      <c r="U47" s="1">
        <v>3500</v>
      </c>
      <c r="V47" s="24" t="s">
        <v>1299</v>
      </c>
      <c r="W47" s="43"/>
    </row>
  </sheetData>
  <mergeCells count="6">
    <mergeCell ref="W44:W47"/>
    <mergeCell ref="W2:W8"/>
    <mergeCell ref="W9:W16"/>
    <mergeCell ref="W17:W29"/>
    <mergeCell ref="W30:W40"/>
    <mergeCell ref="W41:W43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BE649-ED7C-4266-9D05-5A1060E8F335}">
  <dimension ref="A1:R36"/>
  <sheetViews>
    <sheetView workbookViewId="0">
      <selection activeCell="G33" sqref="G33"/>
    </sheetView>
  </sheetViews>
  <sheetFormatPr baseColWidth="10" defaultRowHeight="15" x14ac:dyDescent="0.25"/>
  <cols>
    <col min="1" max="1" width="7.42578125" bestFit="1" customWidth="1"/>
    <col min="2" max="2" width="14.5703125" bestFit="1" customWidth="1"/>
    <col min="3" max="3" width="19.7109375" bestFit="1" customWidth="1"/>
    <col min="4" max="4" width="23" bestFit="1" customWidth="1"/>
    <col min="5" max="5" width="39.5703125" bestFit="1" customWidth="1"/>
    <col min="6" max="6" width="18" bestFit="1" customWidth="1"/>
    <col min="7" max="7" width="26" bestFit="1" customWidth="1"/>
    <col min="8" max="8" width="15.42578125" bestFit="1" customWidth="1"/>
    <col min="9" max="9" width="23.42578125" bestFit="1" customWidth="1"/>
    <col min="10" max="11" width="19.140625" bestFit="1" customWidth="1"/>
    <col min="12" max="12" width="12" bestFit="1" customWidth="1"/>
    <col min="13" max="13" width="26.5703125" customWidth="1"/>
    <col min="14" max="14" width="16.85546875" bestFit="1" customWidth="1"/>
    <col min="15" max="15" width="15.7109375" bestFit="1" customWidth="1"/>
    <col min="16" max="16" width="17.28515625" bestFit="1" customWidth="1"/>
    <col min="17" max="17" width="103.28515625" bestFit="1" customWidth="1"/>
    <col min="18" max="18" width="59.28515625" bestFit="1" customWidth="1"/>
  </cols>
  <sheetData>
    <row r="1" spans="1:18" x14ac:dyDescent="0.25">
      <c r="A1" s="22" t="s">
        <v>0</v>
      </c>
      <c r="B1" s="22" t="s">
        <v>1</v>
      </c>
      <c r="C1" s="22" t="s">
        <v>2</v>
      </c>
      <c r="D1" s="22" t="s">
        <v>83</v>
      </c>
      <c r="E1" s="22" t="s">
        <v>1010</v>
      </c>
      <c r="F1" s="22" t="s">
        <v>85</v>
      </c>
      <c r="G1" s="22" t="s">
        <v>1300</v>
      </c>
      <c r="H1" s="22" t="s">
        <v>1301</v>
      </c>
      <c r="I1" s="22" t="s">
        <v>1302</v>
      </c>
      <c r="J1" s="22" t="s">
        <v>1303</v>
      </c>
      <c r="K1" s="22" t="s">
        <v>1304</v>
      </c>
      <c r="L1" s="22" t="s">
        <v>1305</v>
      </c>
      <c r="M1" s="22" t="s">
        <v>1306</v>
      </c>
      <c r="N1" s="22" t="s">
        <v>1307</v>
      </c>
      <c r="O1" s="22" t="s">
        <v>836</v>
      </c>
      <c r="P1" s="22" t="s">
        <v>837</v>
      </c>
      <c r="Q1" s="22" t="s">
        <v>579</v>
      </c>
      <c r="R1" s="8"/>
    </row>
    <row r="2" spans="1:18" x14ac:dyDescent="0.25">
      <c r="A2" s="16">
        <v>0</v>
      </c>
      <c r="B2" s="16" t="str">
        <f>TEXT(DEC2BIN(A2,6),"000000")</f>
        <v>000000</v>
      </c>
      <c r="C2" s="18" t="s">
        <v>109</v>
      </c>
      <c r="D2" s="18" t="s">
        <v>1309</v>
      </c>
      <c r="E2" s="18" t="s">
        <v>1310</v>
      </c>
      <c r="F2" s="18" t="s">
        <v>1311</v>
      </c>
      <c r="G2" s="18" t="s">
        <v>384</v>
      </c>
      <c r="H2" s="34">
        <v>45875</v>
      </c>
      <c r="I2" s="18">
        <v>0</v>
      </c>
      <c r="J2" s="18">
        <v>0</v>
      </c>
      <c r="K2" s="34">
        <v>45875</v>
      </c>
      <c r="L2" s="18" t="s">
        <v>14</v>
      </c>
      <c r="M2" s="18" t="s">
        <v>384</v>
      </c>
      <c r="N2" s="18" t="s">
        <v>384</v>
      </c>
      <c r="O2" s="18" t="s">
        <v>1312</v>
      </c>
      <c r="P2" s="19">
        <v>250</v>
      </c>
      <c r="Q2" s="18" t="s">
        <v>1313</v>
      </c>
      <c r="R2" s="35" t="s">
        <v>1308</v>
      </c>
    </row>
    <row r="3" spans="1:18" x14ac:dyDescent="0.25">
      <c r="A3" s="16">
        <v>1</v>
      </c>
      <c r="B3" s="16" t="str">
        <f t="shared" ref="B3:B36" si="0">TEXT(DEC2BIN(A3,6),"000000")</f>
        <v>000001</v>
      </c>
      <c r="C3" s="16" t="s">
        <v>94</v>
      </c>
      <c r="D3" s="16" t="s">
        <v>1315</v>
      </c>
      <c r="E3" s="16" t="s">
        <v>1316</v>
      </c>
      <c r="F3" s="16" t="s">
        <v>1317</v>
      </c>
      <c r="G3" s="16" t="s">
        <v>1318</v>
      </c>
      <c r="H3" s="16">
        <v>8</v>
      </c>
      <c r="I3" s="16">
        <v>0</v>
      </c>
      <c r="J3" s="16">
        <v>8</v>
      </c>
      <c r="K3" s="16">
        <v>0</v>
      </c>
      <c r="L3" s="16" t="s">
        <v>9</v>
      </c>
      <c r="M3" s="16" t="s">
        <v>384</v>
      </c>
      <c r="N3" s="16" t="s">
        <v>384</v>
      </c>
      <c r="O3" s="16" t="s">
        <v>1312</v>
      </c>
      <c r="P3" s="17">
        <v>1200</v>
      </c>
      <c r="Q3" s="16" t="s">
        <v>1319</v>
      </c>
      <c r="R3" s="47" t="s">
        <v>1314</v>
      </c>
    </row>
    <row r="4" spans="1:18" x14ac:dyDescent="0.25">
      <c r="A4" s="16">
        <v>2</v>
      </c>
      <c r="B4" s="16" t="str">
        <f t="shared" si="0"/>
        <v>000010</v>
      </c>
      <c r="C4" s="16" t="s">
        <v>109</v>
      </c>
      <c r="D4" s="16" t="s">
        <v>1320</v>
      </c>
      <c r="E4" s="16" t="s">
        <v>1321</v>
      </c>
      <c r="F4" s="16" t="s">
        <v>1317</v>
      </c>
      <c r="G4" s="16" t="s">
        <v>1322</v>
      </c>
      <c r="H4" s="16">
        <v>8</v>
      </c>
      <c r="I4" s="16">
        <v>0</v>
      </c>
      <c r="J4" s="16">
        <v>8</v>
      </c>
      <c r="K4" s="16">
        <v>0</v>
      </c>
      <c r="L4" s="16" t="s">
        <v>9</v>
      </c>
      <c r="M4" s="16" t="s">
        <v>384</v>
      </c>
      <c r="N4" s="16" t="s">
        <v>384</v>
      </c>
      <c r="O4" s="16" t="s">
        <v>1323</v>
      </c>
      <c r="P4" s="16" t="s">
        <v>1324</v>
      </c>
      <c r="Q4" s="16" t="s">
        <v>1325</v>
      </c>
      <c r="R4" s="47"/>
    </row>
    <row r="5" spans="1:18" x14ac:dyDescent="0.25">
      <c r="A5" s="16">
        <v>3</v>
      </c>
      <c r="B5" s="16" t="str">
        <f t="shared" si="0"/>
        <v>000011</v>
      </c>
      <c r="C5" s="16" t="s">
        <v>116</v>
      </c>
      <c r="D5" s="16" t="s">
        <v>1326</v>
      </c>
      <c r="E5" s="16" t="s">
        <v>1327</v>
      </c>
      <c r="F5" s="16" t="s">
        <v>1317</v>
      </c>
      <c r="G5" s="16" t="s">
        <v>1328</v>
      </c>
      <c r="H5" s="16">
        <v>8</v>
      </c>
      <c r="I5" s="16">
        <v>0</v>
      </c>
      <c r="J5" s="16">
        <v>8</v>
      </c>
      <c r="K5" s="16">
        <v>0</v>
      </c>
      <c r="L5" s="16" t="s">
        <v>9</v>
      </c>
      <c r="M5" s="16" t="s">
        <v>384</v>
      </c>
      <c r="N5" s="16" t="s">
        <v>384</v>
      </c>
      <c r="O5" s="16" t="s">
        <v>845</v>
      </c>
      <c r="P5" s="17">
        <v>500</v>
      </c>
      <c r="Q5" s="16" t="s">
        <v>1329</v>
      </c>
      <c r="R5" s="47"/>
    </row>
    <row r="6" spans="1:18" x14ac:dyDescent="0.25">
      <c r="A6" s="16">
        <v>4</v>
      </c>
      <c r="B6" s="16" t="str">
        <f t="shared" si="0"/>
        <v>000100</v>
      </c>
      <c r="C6" s="16" t="s">
        <v>116</v>
      </c>
      <c r="D6" s="16" t="s">
        <v>1330</v>
      </c>
      <c r="E6" s="16" t="s">
        <v>1331</v>
      </c>
      <c r="F6" s="16" t="s">
        <v>1317</v>
      </c>
      <c r="G6" s="16" t="s">
        <v>1328</v>
      </c>
      <c r="H6" s="16">
        <v>8</v>
      </c>
      <c r="I6" s="16">
        <v>0</v>
      </c>
      <c r="J6" s="16">
        <v>8</v>
      </c>
      <c r="K6" s="16">
        <v>0</v>
      </c>
      <c r="L6" s="16" t="s">
        <v>9</v>
      </c>
      <c r="M6" s="16" t="s">
        <v>384</v>
      </c>
      <c r="N6" s="16" t="s">
        <v>384</v>
      </c>
      <c r="O6" s="16" t="s">
        <v>104</v>
      </c>
      <c r="P6" s="17">
        <v>550</v>
      </c>
      <c r="Q6" s="16" t="s">
        <v>1332</v>
      </c>
      <c r="R6" s="47"/>
    </row>
    <row r="7" spans="1:18" x14ac:dyDescent="0.25">
      <c r="A7" s="16">
        <v>5</v>
      </c>
      <c r="B7" s="16" t="str">
        <f t="shared" si="0"/>
        <v>000101</v>
      </c>
      <c r="C7" s="16" t="s">
        <v>116</v>
      </c>
      <c r="D7" s="16" t="s">
        <v>1333</v>
      </c>
      <c r="E7" s="16" t="s">
        <v>1334</v>
      </c>
      <c r="F7" s="16" t="s">
        <v>1317</v>
      </c>
      <c r="G7" s="16" t="s">
        <v>1328</v>
      </c>
      <c r="H7" s="16">
        <v>8</v>
      </c>
      <c r="I7" s="16">
        <v>0</v>
      </c>
      <c r="J7" s="16">
        <v>8</v>
      </c>
      <c r="K7" s="16">
        <v>0</v>
      </c>
      <c r="L7" s="16" t="s">
        <v>9</v>
      </c>
      <c r="M7" s="16" t="s">
        <v>384</v>
      </c>
      <c r="N7" s="16" t="s">
        <v>384</v>
      </c>
      <c r="O7" s="16" t="s">
        <v>845</v>
      </c>
      <c r="P7" s="17">
        <v>520</v>
      </c>
      <c r="Q7" s="16" t="s">
        <v>1335</v>
      </c>
      <c r="R7" s="47"/>
    </row>
    <row r="8" spans="1:18" x14ac:dyDescent="0.25">
      <c r="A8" s="16">
        <v>6</v>
      </c>
      <c r="B8" s="16" t="str">
        <f t="shared" si="0"/>
        <v>000110</v>
      </c>
      <c r="C8" s="18" t="s">
        <v>116</v>
      </c>
      <c r="D8" s="18" t="s">
        <v>1333</v>
      </c>
      <c r="E8" s="18" t="s">
        <v>1337</v>
      </c>
      <c r="F8" s="18" t="s">
        <v>1338</v>
      </c>
      <c r="G8" s="18" t="s">
        <v>1339</v>
      </c>
      <c r="H8" s="34">
        <v>45875</v>
      </c>
      <c r="I8" s="18" t="s">
        <v>1340</v>
      </c>
      <c r="J8" s="18">
        <v>0</v>
      </c>
      <c r="K8" s="18" t="s">
        <v>1341</v>
      </c>
      <c r="L8" s="18" t="s">
        <v>1342</v>
      </c>
      <c r="M8" s="18" t="s">
        <v>1343</v>
      </c>
      <c r="N8" s="18" t="s">
        <v>1344</v>
      </c>
      <c r="O8" s="18" t="s">
        <v>1312</v>
      </c>
      <c r="P8" s="18" t="s">
        <v>1345</v>
      </c>
      <c r="Q8" s="18" t="s">
        <v>1346</v>
      </c>
      <c r="R8" s="41" t="s">
        <v>1336</v>
      </c>
    </row>
    <row r="9" spans="1:18" x14ac:dyDescent="0.25">
      <c r="A9" s="16">
        <v>7</v>
      </c>
      <c r="B9" s="16" t="str">
        <f t="shared" si="0"/>
        <v>000111</v>
      </c>
      <c r="C9" s="18" t="s">
        <v>116</v>
      </c>
      <c r="D9" s="18" t="s">
        <v>1330</v>
      </c>
      <c r="E9" s="18" t="s">
        <v>1347</v>
      </c>
      <c r="F9" s="18" t="s">
        <v>1338</v>
      </c>
      <c r="G9" s="18" t="s">
        <v>1339</v>
      </c>
      <c r="H9" s="34">
        <v>45875</v>
      </c>
      <c r="I9" s="18" t="s">
        <v>1340</v>
      </c>
      <c r="J9" s="18">
        <v>0</v>
      </c>
      <c r="K9" s="18" t="s">
        <v>1341</v>
      </c>
      <c r="L9" s="18" t="s">
        <v>1342</v>
      </c>
      <c r="M9" s="18" t="s">
        <v>1343</v>
      </c>
      <c r="N9" s="18" t="s">
        <v>1344</v>
      </c>
      <c r="O9" s="18" t="s">
        <v>1312</v>
      </c>
      <c r="P9" s="18" t="s">
        <v>1348</v>
      </c>
      <c r="Q9" s="18" t="s">
        <v>1349</v>
      </c>
      <c r="R9" s="41"/>
    </row>
    <row r="10" spans="1:18" x14ac:dyDescent="0.25">
      <c r="A10" s="16">
        <v>8</v>
      </c>
      <c r="B10" s="16" t="str">
        <f t="shared" si="0"/>
        <v>001000</v>
      </c>
      <c r="C10" s="16" t="s">
        <v>109</v>
      </c>
      <c r="D10" s="16" t="s">
        <v>1320</v>
      </c>
      <c r="E10" s="16" t="s">
        <v>1351</v>
      </c>
      <c r="F10" s="16" t="s">
        <v>1352</v>
      </c>
      <c r="G10" s="16" t="s">
        <v>1353</v>
      </c>
      <c r="H10" s="16">
        <v>8</v>
      </c>
      <c r="I10" s="16" t="s">
        <v>1354</v>
      </c>
      <c r="J10" s="16">
        <v>0</v>
      </c>
      <c r="K10" s="16" t="s">
        <v>1355</v>
      </c>
      <c r="L10" s="23" t="s">
        <v>9</v>
      </c>
      <c r="M10" s="16" t="s">
        <v>1356</v>
      </c>
      <c r="N10" s="16" t="s">
        <v>1344</v>
      </c>
      <c r="O10" s="16" t="s">
        <v>1323</v>
      </c>
      <c r="P10" s="16" t="s">
        <v>1357</v>
      </c>
      <c r="Q10" s="16" t="s">
        <v>1358</v>
      </c>
      <c r="R10" s="40" t="s">
        <v>1350</v>
      </c>
    </row>
    <row r="11" spans="1:18" x14ac:dyDescent="0.25">
      <c r="A11" s="16">
        <v>9</v>
      </c>
      <c r="B11" s="16" t="str">
        <f t="shared" si="0"/>
        <v>001001</v>
      </c>
      <c r="C11" s="16" t="s">
        <v>109</v>
      </c>
      <c r="D11" s="16" t="s">
        <v>1315</v>
      </c>
      <c r="E11" s="16" t="s">
        <v>1359</v>
      </c>
      <c r="F11" s="16" t="s">
        <v>1352</v>
      </c>
      <c r="G11" s="16" t="s">
        <v>1360</v>
      </c>
      <c r="H11" s="36">
        <v>45875</v>
      </c>
      <c r="I11" s="16" t="s">
        <v>1361</v>
      </c>
      <c r="J11" s="16" t="s">
        <v>1362</v>
      </c>
      <c r="K11" s="16">
        <v>0</v>
      </c>
      <c r="L11" s="23" t="s">
        <v>9</v>
      </c>
      <c r="M11" s="16" t="s">
        <v>1363</v>
      </c>
      <c r="N11" s="16" t="s">
        <v>1344</v>
      </c>
      <c r="O11" s="16" t="s">
        <v>1312</v>
      </c>
      <c r="P11" s="16" t="s">
        <v>1364</v>
      </c>
      <c r="Q11" s="16" t="s">
        <v>1365</v>
      </c>
      <c r="R11" s="40"/>
    </row>
    <row r="12" spans="1:18" x14ac:dyDescent="0.25">
      <c r="A12" s="16">
        <v>10</v>
      </c>
      <c r="B12" s="16" t="str">
        <f t="shared" si="0"/>
        <v>001010</v>
      </c>
      <c r="C12" s="16" t="s">
        <v>94</v>
      </c>
      <c r="D12" s="16" t="s">
        <v>1366</v>
      </c>
      <c r="E12" s="16" t="s">
        <v>1367</v>
      </c>
      <c r="F12" s="16" t="s">
        <v>1352</v>
      </c>
      <c r="G12" s="16" t="s">
        <v>1368</v>
      </c>
      <c r="H12" s="36">
        <v>45938</v>
      </c>
      <c r="I12" s="16" t="s">
        <v>1369</v>
      </c>
      <c r="J12" s="16" t="s">
        <v>1370</v>
      </c>
      <c r="K12" s="16">
        <v>0</v>
      </c>
      <c r="L12" s="23" t="s">
        <v>9</v>
      </c>
      <c r="M12" s="16" t="s">
        <v>1371</v>
      </c>
      <c r="N12" s="16" t="s">
        <v>1344</v>
      </c>
      <c r="O12" s="16" t="s">
        <v>104</v>
      </c>
      <c r="P12" s="16" t="s">
        <v>1372</v>
      </c>
      <c r="Q12" s="16" t="s">
        <v>1373</v>
      </c>
      <c r="R12" s="40"/>
    </row>
    <row r="13" spans="1:18" x14ac:dyDescent="0.25">
      <c r="A13" s="16">
        <v>11</v>
      </c>
      <c r="B13" s="16" t="str">
        <f t="shared" si="0"/>
        <v>001011</v>
      </c>
      <c r="C13" s="16" t="s">
        <v>109</v>
      </c>
      <c r="D13" s="16" t="s">
        <v>1374</v>
      </c>
      <c r="E13" s="16" t="s">
        <v>1375</v>
      </c>
      <c r="F13" s="16" t="s">
        <v>1352</v>
      </c>
      <c r="G13" s="16" t="s">
        <v>1376</v>
      </c>
      <c r="H13" s="36">
        <v>45938</v>
      </c>
      <c r="I13" s="16" t="s">
        <v>1377</v>
      </c>
      <c r="J13" s="16" t="s">
        <v>1378</v>
      </c>
      <c r="K13" s="16">
        <v>0</v>
      </c>
      <c r="L13" s="23" t="s">
        <v>9</v>
      </c>
      <c r="M13" s="16" t="s">
        <v>1371</v>
      </c>
      <c r="N13" s="16" t="s">
        <v>1379</v>
      </c>
      <c r="O13" s="16" t="s">
        <v>104</v>
      </c>
      <c r="P13" s="16" t="s">
        <v>1380</v>
      </c>
      <c r="Q13" s="16" t="s">
        <v>1381</v>
      </c>
      <c r="R13" s="40"/>
    </row>
    <row r="14" spans="1:18" x14ac:dyDescent="0.25">
      <c r="A14" s="16">
        <v>12</v>
      </c>
      <c r="B14" s="16" t="str">
        <f t="shared" si="0"/>
        <v>001100</v>
      </c>
      <c r="C14" s="16" t="s">
        <v>116</v>
      </c>
      <c r="D14" s="16" t="s">
        <v>1330</v>
      </c>
      <c r="E14" s="16" t="s">
        <v>1382</v>
      </c>
      <c r="F14" s="16" t="s">
        <v>1352</v>
      </c>
      <c r="G14" s="16" t="s">
        <v>1383</v>
      </c>
      <c r="H14" s="16">
        <v>8</v>
      </c>
      <c r="I14" s="16" t="s">
        <v>1354</v>
      </c>
      <c r="J14" s="16" t="s">
        <v>1384</v>
      </c>
      <c r="K14" s="16">
        <v>0</v>
      </c>
      <c r="L14" s="23" t="s">
        <v>9</v>
      </c>
      <c r="M14" s="16" t="s">
        <v>1385</v>
      </c>
      <c r="N14" s="16" t="s">
        <v>1344</v>
      </c>
      <c r="O14" s="16" t="s">
        <v>104</v>
      </c>
      <c r="P14" s="17">
        <v>1400</v>
      </c>
      <c r="Q14" s="16" t="s">
        <v>1386</v>
      </c>
      <c r="R14" s="40"/>
    </row>
    <row r="15" spans="1:18" x14ac:dyDescent="0.25">
      <c r="A15" s="16">
        <v>13</v>
      </c>
      <c r="B15" s="16" t="str">
        <f t="shared" si="0"/>
        <v>001101</v>
      </c>
      <c r="C15" s="16" t="s">
        <v>116</v>
      </c>
      <c r="D15" s="16" t="s">
        <v>1387</v>
      </c>
      <c r="E15" s="16" t="s">
        <v>1388</v>
      </c>
      <c r="F15" s="16" t="s">
        <v>1352</v>
      </c>
      <c r="G15" s="16" t="s">
        <v>1389</v>
      </c>
      <c r="H15" s="16">
        <v>12</v>
      </c>
      <c r="I15" s="16" t="s">
        <v>1390</v>
      </c>
      <c r="J15" s="16" t="s">
        <v>1391</v>
      </c>
      <c r="K15" s="16">
        <v>0</v>
      </c>
      <c r="L15" s="23" t="s">
        <v>9</v>
      </c>
      <c r="M15" s="16" t="s">
        <v>1363</v>
      </c>
      <c r="N15" s="16" t="s">
        <v>1344</v>
      </c>
      <c r="O15" s="16" t="s">
        <v>104</v>
      </c>
      <c r="P15" s="16" t="s">
        <v>1392</v>
      </c>
      <c r="Q15" s="16" t="s">
        <v>1393</v>
      </c>
      <c r="R15" s="40"/>
    </row>
    <row r="16" spans="1:18" x14ac:dyDescent="0.25">
      <c r="A16" s="16">
        <v>14</v>
      </c>
      <c r="B16" s="16" t="str">
        <f t="shared" si="0"/>
        <v>001110</v>
      </c>
      <c r="C16" s="18" t="s">
        <v>109</v>
      </c>
      <c r="D16" s="18" t="s">
        <v>1320</v>
      </c>
      <c r="E16" s="18" t="s">
        <v>1395</v>
      </c>
      <c r="F16" s="18" t="s">
        <v>1352</v>
      </c>
      <c r="G16" s="18" t="s">
        <v>1396</v>
      </c>
      <c r="H16" s="18">
        <v>8</v>
      </c>
      <c r="I16" s="18" t="s">
        <v>1354</v>
      </c>
      <c r="J16" s="18" t="s">
        <v>1355</v>
      </c>
      <c r="K16" s="18">
        <v>0</v>
      </c>
      <c r="L16" s="35" t="s">
        <v>9</v>
      </c>
      <c r="M16" s="18" t="s">
        <v>1397</v>
      </c>
      <c r="N16" s="18" t="s">
        <v>1344</v>
      </c>
      <c r="O16" s="18" t="s">
        <v>1323</v>
      </c>
      <c r="P16" s="19">
        <v>2400</v>
      </c>
      <c r="Q16" s="18" t="s">
        <v>1398</v>
      </c>
      <c r="R16" s="41" t="s">
        <v>1394</v>
      </c>
    </row>
    <row r="17" spans="1:18" x14ac:dyDescent="0.25">
      <c r="A17" s="16">
        <v>15</v>
      </c>
      <c r="B17" s="16" t="str">
        <f t="shared" si="0"/>
        <v>001111</v>
      </c>
      <c r="C17" s="18" t="s">
        <v>94</v>
      </c>
      <c r="D17" s="18" t="s">
        <v>1366</v>
      </c>
      <c r="E17" s="18" t="s">
        <v>1399</v>
      </c>
      <c r="F17" s="18" t="s">
        <v>1352</v>
      </c>
      <c r="G17" s="18" t="s">
        <v>1400</v>
      </c>
      <c r="H17" s="18">
        <v>12</v>
      </c>
      <c r="I17" s="18" t="s">
        <v>1390</v>
      </c>
      <c r="J17" s="18" t="s">
        <v>1391</v>
      </c>
      <c r="K17" s="18">
        <v>0</v>
      </c>
      <c r="L17" s="35" t="s">
        <v>9</v>
      </c>
      <c r="M17" s="18" t="s">
        <v>1401</v>
      </c>
      <c r="N17" s="18" t="s">
        <v>1344</v>
      </c>
      <c r="O17" s="18" t="s">
        <v>104</v>
      </c>
      <c r="P17" s="18" t="s">
        <v>1402</v>
      </c>
      <c r="Q17" s="18" t="s">
        <v>1403</v>
      </c>
      <c r="R17" s="41"/>
    </row>
    <row r="18" spans="1:18" x14ac:dyDescent="0.25">
      <c r="A18" s="16">
        <v>16</v>
      </c>
      <c r="B18" s="16" t="str">
        <f t="shared" si="0"/>
        <v>010000</v>
      </c>
      <c r="C18" s="18" t="s">
        <v>116</v>
      </c>
      <c r="D18" s="18" t="s">
        <v>1315</v>
      </c>
      <c r="E18" s="18" t="s">
        <v>1404</v>
      </c>
      <c r="F18" s="18" t="s">
        <v>1352</v>
      </c>
      <c r="G18" s="18" t="s">
        <v>1396</v>
      </c>
      <c r="H18" s="18">
        <v>8</v>
      </c>
      <c r="I18" s="18" t="s">
        <v>1354</v>
      </c>
      <c r="J18" s="18" t="s">
        <v>1384</v>
      </c>
      <c r="K18" s="18">
        <v>0</v>
      </c>
      <c r="L18" s="35" t="s">
        <v>9</v>
      </c>
      <c r="M18" s="18" t="s">
        <v>1401</v>
      </c>
      <c r="N18" s="18" t="s">
        <v>1344</v>
      </c>
      <c r="O18" s="18" t="s">
        <v>1312</v>
      </c>
      <c r="P18" s="19">
        <v>2600</v>
      </c>
      <c r="Q18" s="18" t="s">
        <v>1405</v>
      </c>
      <c r="R18" s="41"/>
    </row>
    <row r="19" spans="1:18" x14ac:dyDescent="0.25">
      <c r="A19" s="16">
        <v>17</v>
      </c>
      <c r="B19" s="16" t="str">
        <f t="shared" si="0"/>
        <v>010001</v>
      </c>
      <c r="C19" s="18" t="s">
        <v>109</v>
      </c>
      <c r="D19" s="18" t="s">
        <v>1374</v>
      </c>
      <c r="E19" s="18" t="s">
        <v>1406</v>
      </c>
      <c r="F19" s="18" t="s">
        <v>1352</v>
      </c>
      <c r="G19" s="18" t="s">
        <v>1396</v>
      </c>
      <c r="H19" s="18">
        <v>10</v>
      </c>
      <c r="I19" s="18" t="s">
        <v>1390</v>
      </c>
      <c r="J19" s="18" t="s">
        <v>1355</v>
      </c>
      <c r="K19" s="18">
        <v>0</v>
      </c>
      <c r="L19" s="35" t="s">
        <v>9</v>
      </c>
      <c r="M19" s="18" t="s">
        <v>1407</v>
      </c>
      <c r="N19" s="35" t="s">
        <v>1408</v>
      </c>
      <c r="O19" s="18" t="s">
        <v>104</v>
      </c>
      <c r="P19" s="19">
        <v>4000</v>
      </c>
      <c r="Q19" s="18" t="s">
        <v>1409</v>
      </c>
      <c r="R19" s="41"/>
    </row>
    <row r="20" spans="1:18" x14ac:dyDescent="0.25">
      <c r="A20" s="16">
        <v>18</v>
      </c>
      <c r="B20" s="16" t="str">
        <f t="shared" si="0"/>
        <v>010010</v>
      </c>
      <c r="C20" s="18" t="s">
        <v>116</v>
      </c>
      <c r="D20" s="18" t="s">
        <v>1366</v>
      </c>
      <c r="E20" s="18" t="s">
        <v>1410</v>
      </c>
      <c r="F20" s="18" t="s">
        <v>1352</v>
      </c>
      <c r="G20" s="18" t="s">
        <v>1396</v>
      </c>
      <c r="H20" s="18">
        <v>10</v>
      </c>
      <c r="I20" s="18" t="s">
        <v>1411</v>
      </c>
      <c r="J20" s="18" t="s">
        <v>1412</v>
      </c>
      <c r="K20" s="18">
        <v>0</v>
      </c>
      <c r="L20" s="35" t="s">
        <v>9</v>
      </c>
      <c r="M20" s="18" t="s">
        <v>1401</v>
      </c>
      <c r="N20" s="35" t="s">
        <v>1408</v>
      </c>
      <c r="O20" s="18" t="s">
        <v>104</v>
      </c>
      <c r="P20" s="19">
        <v>4500</v>
      </c>
      <c r="Q20" s="18" t="s">
        <v>1413</v>
      </c>
      <c r="R20" s="41"/>
    </row>
    <row r="21" spans="1:18" x14ac:dyDescent="0.25">
      <c r="A21" s="16">
        <v>19</v>
      </c>
      <c r="B21" s="16" t="str">
        <f t="shared" si="0"/>
        <v>010011</v>
      </c>
      <c r="C21" s="18" t="s">
        <v>288</v>
      </c>
      <c r="D21" s="18" t="s">
        <v>1387</v>
      </c>
      <c r="E21" s="18" t="s">
        <v>1414</v>
      </c>
      <c r="F21" s="18" t="s">
        <v>1352</v>
      </c>
      <c r="G21" s="18" t="s">
        <v>1396</v>
      </c>
      <c r="H21" s="18">
        <v>8</v>
      </c>
      <c r="I21" s="18" t="s">
        <v>1354</v>
      </c>
      <c r="J21" s="18" t="s">
        <v>1355</v>
      </c>
      <c r="K21" s="18">
        <v>0</v>
      </c>
      <c r="L21" s="35" t="s">
        <v>9</v>
      </c>
      <c r="M21" s="18" t="s">
        <v>1397</v>
      </c>
      <c r="N21" s="18" t="s">
        <v>1344</v>
      </c>
      <c r="O21" s="18" t="s">
        <v>104</v>
      </c>
      <c r="P21" s="19">
        <v>3500</v>
      </c>
      <c r="Q21" s="18" t="s">
        <v>1415</v>
      </c>
      <c r="R21" s="41"/>
    </row>
    <row r="22" spans="1:18" x14ac:dyDescent="0.25">
      <c r="A22" s="16">
        <v>20</v>
      </c>
      <c r="B22" s="16" t="str">
        <f t="shared" si="0"/>
        <v>010100</v>
      </c>
      <c r="C22" s="16" t="s">
        <v>288</v>
      </c>
      <c r="D22" s="16" t="s">
        <v>1320</v>
      </c>
      <c r="E22" s="16" t="s">
        <v>1417</v>
      </c>
      <c r="F22" s="16" t="s">
        <v>1352</v>
      </c>
      <c r="G22" s="16" t="s">
        <v>1418</v>
      </c>
      <c r="H22" s="16">
        <v>8</v>
      </c>
      <c r="I22" s="16" t="s">
        <v>1354</v>
      </c>
      <c r="J22" s="16" t="s">
        <v>1355</v>
      </c>
      <c r="K22" s="16">
        <v>0</v>
      </c>
      <c r="L22" s="23" t="s">
        <v>9</v>
      </c>
      <c r="M22" s="16" t="s">
        <v>1419</v>
      </c>
      <c r="N22" s="16" t="s">
        <v>1344</v>
      </c>
      <c r="O22" s="16" t="s">
        <v>1323</v>
      </c>
      <c r="P22" s="17">
        <v>3800</v>
      </c>
      <c r="Q22" s="16" t="s">
        <v>1420</v>
      </c>
      <c r="R22" s="40" t="s">
        <v>1416</v>
      </c>
    </row>
    <row r="23" spans="1:18" x14ac:dyDescent="0.25">
      <c r="A23" s="16">
        <v>21</v>
      </c>
      <c r="B23" s="16" t="str">
        <f t="shared" si="0"/>
        <v>010101</v>
      </c>
      <c r="C23" s="16" t="s">
        <v>116</v>
      </c>
      <c r="D23" s="16" t="s">
        <v>1366</v>
      </c>
      <c r="E23" s="16" t="s">
        <v>1421</v>
      </c>
      <c r="F23" s="16" t="s">
        <v>1352</v>
      </c>
      <c r="G23" s="16" t="s">
        <v>1422</v>
      </c>
      <c r="H23" s="16">
        <v>12</v>
      </c>
      <c r="I23" s="16" t="s">
        <v>1390</v>
      </c>
      <c r="J23" s="16" t="s">
        <v>1391</v>
      </c>
      <c r="K23" s="16">
        <v>0</v>
      </c>
      <c r="L23" s="23" t="s">
        <v>9</v>
      </c>
      <c r="M23" s="16" t="s">
        <v>1423</v>
      </c>
      <c r="N23" s="16" t="s">
        <v>1344</v>
      </c>
      <c r="O23" s="16" t="s">
        <v>104</v>
      </c>
      <c r="P23" s="17">
        <v>4800</v>
      </c>
      <c r="Q23" s="16" t="s">
        <v>1424</v>
      </c>
      <c r="R23" s="40"/>
    </row>
    <row r="24" spans="1:18" x14ac:dyDescent="0.25">
      <c r="A24" s="16">
        <v>22</v>
      </c>
      <c r="B24" s="16" t="str">
        <f t="shared" si="0"/>
        <v>010110</v>
      </c>
      <c r="C24" s="16" t="s">
        <v>288</v>
      </c>
      <c r="D24" s="16" t="s">
        <v>1374</v>
      </c>
      <c r="E24" s="16" t="s">
        <v>1425</v>
      </c>
      <c r="F24" s="16" t="s">
        <v>1352</v>
      </c>
      <c r="G24" s="16" t="s">
        <v>1422</v>
      </c>
      <c r="H24" s="16">
        <v>10</v>
      </c>
      <c r="I24" s="16" t="s">
        <v>1390</v>
      </c>
      <c r="J24" s="16" t="s">
        <v>1355</v>
      </c>
      <c r="K24" s="16">
        <v>0</v>
      </c>
      <c r="L24" s="23" t="s">
        <v>9</v>
      </c>
      <c r="M24" s="16" t="s">
        <v>1423</v>
      </c>
      <c r="N24" s="16" t="s">
        <v>1344</v>
      </c>
      <c r="O24" s="16" t="s">
        <v>104</v>
      </c>
      <c r="P24" s="17">
        <v>6500</v>
      </c>
      <c r="Q24" s="16" t="s">
        <v>1426</v>
      </c>
      <c r="R24" s="40"/>
    </row>
    <row r="25" spans="1:18" x14ac:dyDescent="0.25">
      <c r="A25" s="16">
        <v>23</v>
      </c>
      <c r="B25" s="16" t="str">
        <f t="shared" si="0"/>
        <v>010111</v>
      </c>
      <c r="C25" s="16" t="s">
        <v>116</v>
      </c>
      <c r="D25" s="16" t="s">
        <v>1366</v>
      </c>
      <c r="E25" s="16" t="s">
        <v>1427</v>
      </c>
      <c r="F25" s="16" t="s">
        <v>1352</v>
      </c>
      <c r="G25" s="16" t="s">
        <v>1396</v>
      </c>
      <c r="H25" s="16">
        <v>8</v>
      </c>
      <c r="I25" s="16" t="s">
        <v>1354</v>
      </c>
      <c r="J25" s="16" t="s">
        <v>1355</v>
      </c>
      <c r="K25" s="16">
        <v>0</v>
      </c>
      <c r="L25" s="23" t="s">
        <v>9</v>
      </c>
      <c r="M25" s="16" t="s">
        <v>1401</v>
      </c>
      <c r="N25" s="16" t="s">
        <v>1344</v>
      </c>
      <c r="O25" s="16" t="s">
        <v>104</v>
      </c>
      <c r="P25" s="17">
        <v>5500</v>
      </c>
      <c r="Q25" s="16" t="s">
        <v>1428</v>
      </c>
      <c r="R25" s="40"/>
    </row>
    <row r="26" spans="1:18" x14ac:dyDescent="0.25">
      <c r="A26" s="16">
        <v>24</v>
      </c>
      <c r="B26" s="16" t="str">
        <f t="shared" si="0"/>
        <v>011000</v>
      </c>
      <c r="C26" s="16" t="s">
        <v>288</v>
      </c>
      <c r="D26" s="16" t="s">
        <v>1366</v>
      </c>
      <c r="E26" s="16" t="s">
        <v>1429</v>
      </c>
      <c r="F26" s="16" t="s">
        <v>1352</v>
      </c>
      <c r="G26" s="16" t="s">
        <v>1430</v>
      </c>
      <c r="H26" s="16">
        <v>8</v>
      </c>
      <c r="I26" s="16" t="s">
        <v>1431</v>
      </c>
      <c r="J26" s="16">
        <v>0</v>
      </c>
      <c r="K26" s="16">
        <v>0</v>
      </c>
      <c r="L26" s="23" t="s">
        <v>9</v>
      </c>
      <c r="M26" s="16" t="s">
        <v>1423</v>
      </c>
      <c r="N26" s="23" t="s">
        <v>1408</v>
      </c>
      <c r="O26" s="16" t="s">
        <v>104</v>
      </c>
      <c r="P26" s="16" t="s">
        <v>1292</v>
      </c>
      <c r="Q26" s="16" t="s">
        <v>1432</v>
      </c>
      <c r="R26" s="40"/>
    </row>
    <row r="27" spans="1:18" x14ac:dyDescent="0.25">
      <c r="A27" s="16">
        <v>25</v>
      </c>
      <c r="B27" s="16" t="str">
        <f t="shared" si="0"/>
        <v>011001</v>
      </c>
      <c r="C27" s="18" t="s">
        <v>440</v>
      </c>
      <c r="D27" s="18" t="s">
        <v>1320</v>
      </c>
      <c r="E27" s="18" t="s">
        <v>1434</v>
      </c>
      <c r="F27" s="18" t="s">
        <v>1435</v>
      </c>
      <c r="G27" s="18" t="s">
        <v>1436</v>
      </c>
      <c r="H27" s="34">
        <v>45750</v>
      </c>
      <c r="I27" s="18" t="s">
        <v>1361</v>
      </c>
      <c r="J27" s="18">
        <v>0</v>
      </c>
      <c r="K27" s="18">
        <v>0</v>
      </c>
      <c r="L27" s="35" t="s">
        <v>9</v>
      </c>
      <c r="M27" s="18" t="s">
        <v>1437</v>
      </c>
      <c r="N27" s="35" t="s">
        <v>1408</v>
      </c>
      <c r="O27" s="18" t="s">
        <v>1323</v>
      </c>
      <c r="P27" s="19">
        <v>4500</v>
      </c>
      <c r="Q27" s="18" t="s">
        <v>1438</v>
      </c>
      <c r="R27" s="46" t="s">
        <v>1433</v>
      </c>
    </row>
    <row r="28" spans="1:18" x14ac:dyDescent="0.25">
      <c r="A28" s="16">
        <v>26</v>
      </c>
      <c r="B28" s="16" t="str">
        <f t="shared" si="0"/>
        <v>011010</v>
      </c>
      <c r="C28" s="18" t="s">
        <v>440</v>
      </c>
      <c r="D28" s="18" t="s">
        <v>1366</v>
      </c>
      <c r="E28" s="18" t="s">
        <v>1439</v>
      </c>
      <c r="F28" s="18" t="s">
        <v>1435</v>
      </c>
      <c r="G28" s="18" t="s">
        <v>1436</v>
      </c>
      <c r="H28" s="18">
        <v>6</v>
      </c>
      <c r="I28" s="18" t="s">
        <v>1390</v>
      </c>
      <c r="J28" s="18">
        <v>0</v>
      </c>
      <c r="K28" s="18">
        <v>0</v>
      </c>
      <c r="L28" s="35" t="s">
        <v>9</v>
      </c>
      <c r="M28" s="18" t="s">
        <v>1437</v>
      </c>
      <c r="N28" s="35" t="s">
        <v>1408</v>
      </c>
      <c r="O28" s="18" t="s">
        <v>104</v>
      </c>
      <c r="P28" s="18" t="s">
        <v>1440</v>
      </c>
      <c r="Q28" s="18" t="s">
        <v>1441</v>
      </c>
      <c r="R28" s="46"/>
    </row>
    <row r="29" spans="1:18" x14ac:dyDescent="0.25">
      <c r="A29" s="16">
        <v>27</v>
      </c>
      <c r="B29" s="16" t="str">
        <f t="shared" si="0"/>
        <v>011011</v>
      </c>
      <c r="C29" s="18" t="s">
        <v>440</v>
      </c>
      <c r="D29" s="18" t="s">
        <v>1374</v>
      </c>
      <c r="E29" s="18" t="s">
        <v>1442</v>
      </c>
      <c r="F29" s="18" t="s">
        <v>1435</v>
      </c>
      <c r="G29" s="18" t="s">
        <v>1436</v>
      </c>
      <c r="H29" s="18">
        <v>6</v>
      </c>
      <c r="I29" s="18" t="s">
        <v>1390</v>
      </c>
      <c r="J29" s="18">
        <v>0</v>
      </c>
      <c r="K29" s="18">
        <v>0</v>
      </c>
      <c r="L29" s="35" t="s">
        <v>9</v>
      </c>
      <c r="M29" s="18" t="s">
        <v>1437</v>
      </c>
      <c r="N29" s="35" t="s">
        <v>1408</v>
      </c>
      <c r="O29" s="18" t="s">
        <v>104</v>
      </c>
      <c r="P29" s="18" t="s">
        <v>1008</v>
      </c>
      <c r="Q29" s="18" t="s">
        <v>1443</v>
      </c>
      <c r="R29" s="46"/>
    </row>
    <row r="30" spans="1:18" x14ac:dyDescent="0.25">
      <c r="A30" s="16">
        <v>28</v>
      </c>
      <c r="B30" s="16" t="str">
        <f t="shared" si="0"/>
        <v>011100</v>
      </c>
      <c r="C30" s="18" t="s">
        <v>440</v>
      </c>
      <c r="D30" s="18" t="s">
        <v>1320</v>
      </c>
      <c r="E30" s="18" t="s">
        <v>1444</v>
      </c>
      <c r="F30" s="18" t="s">
        <v>1435</v>
      </c>
      <c r="G30" s="18" t="s">
        <v>1445</v>
      </c>
      <c r="H30" s="34">
        <v>45812</v>
      </c>
      <c r="I30" s="18" t="s">
        <v>1377</v>
      </c>
      <c r="J30" s="18">
        <v>0</v>
      </c>
      <c r="K30" s="18">
        <v>0</v>
      </c>
      <c r="L30" s="35" t="s">
        <v>9</v>
      </c>
      <c r="M30" s="18" t="s">
        <v>1343</v>
      </c>
      <c r="N30" s="35" t="s">
        <v>1408</v>
      </c>
      <c r="O30" s="18" t="s">
        <v>1323</v>
      </c>
      <c r="P30" s="19">
        <v>7500</v>
      </c>
      <c r="Q30" s="18" t="s">
        <v>1446</v>
      </c>
      <c r="R30" s="46"/>
    </row>
    <row r="31" spans="1:18" x14ac:dyDescent="0.25">
      <c r="A31" s="16">
        <v>29</v>
      </c>
      <c r="B31" s="16" t="str">
        <f t="shared" si="0"/>
        <v>011101</v>
      </c>
      <c r="C31" s="18" t="s">
        <v>440</v>
      </c>
      <c r="D31" s="18" t="s">
        <v>1366</v>
      </c>
      <c r="E31" s="18" t="s">
        <v>1447</v>
      </c>
      <c r="F31" s="18" t="s">
        <v>1435</v>
      </c>
      <c r="G31" s="18" t="s">
        <v>1445</v>
      </c>
      <c r="H31" s="18">
        <v>6</v>
      </c>
      <c r="I31" s="18" t="s">
        <v>1390</v>
      </c>
      <c r="J31" s="18">
        <v>0</v>
      </c>
      <c r="K31" s="18">
        <v>0</v>
      </c>
      <c r="L31" s="35" t="s">
        <v>9</v>
      </c>
      <c r="M31" s="18" t="s">
        <v>1343</v>
      </c>
      <c r="N31" s="35" t="s">
        <v>1408</v>
      </c>
      <c r="O31" s="18" t="s">
        <v>104</v>
      </c>
      <c r="P31" s="18" t="s">
        <v>1448</v>
      </c>
      <c r="Q31" s="18" t="s">
        <v>1449</v>
      </c>
      <c r="R31" s="46"/>
    </row>
    <row r="32" spans="1:18" x14ac:dyDescent="0.25">
      <c r="A32" s="16">
        <v>30</v>
      </c>
      <c r="B32" s="16" t="str">
        <f t="shared" si="0"/>
        <v>011110</v>
      </c>
      <c r="C32" s="18" t="s">
        <v>440</v>
      </c>
      <c r="D32" s="18" t="s">
        <v>1374</v>
      </c>
      <c r="E32" s="18" t="s">
        <v>1450</v>
      </c>
      <c r="F32" s="18" t="s">
        <v>1435</v>
      </c>
      <c r="G32" s="18" t="s">
        <v>1451</v>
      </c>
      <c r="H32" s="18" t="s">
        <v>1452</v>
      </c>
      <c r="I32" s="18" t="s">
        <v>1453</v>
      </c>
      <c r="J32" s="18">
        <v>0</v>
      </c>
      <c r="K32" s="18">
        <v>0</v>
      </c>
      <c r="L32" s="35" t="s">
        <v>9</v>
      </c>
      <c r="M32" s="18" t="s">
        <v>1343</v>
      </c>
      <c r="N32" s="35" t="s">
        <v>1408</v>
      </c>
      <c r="O32" s="18" t="s">
        <v>104</v>
      </c>
      <c r="P32" s="18" t="s">
        <v>1454</v>
      </c>
      <c r="Q32" s="18" t="s">
        <v>1455</v>
      </c>
      <c r="R32" s="46"/>
    </row>
    <row r="33" spans="1:18" x14ac:dyDescent="0.25">
      <c r="A33" s="16">
        <v>31</v>
      </c>
      <c r="B33" s="16" t="str">
        <f t="shared" si="0"/>
        <v>011111</v>
      </c>
      <c r="C33" s="18" t="s">
        <v>440</v>
      </c>
      <c r="D33" s="18" t="s">
        <v>1320</v>
      </c>
      <c r="E33" s="18" t="s">
        <v>1456</v>
      </c>
      <c r="F33" s="18" t="s">
        <v>1435</v>
      </c>
      <c r="G33" s="18" t="s">
        <v>1457</v>
      </c>
      <c r="H33" s="18" t="s">
        <v>1458</v>
      </c>
      <c r="I33" s="18" t="s">
        <v>1459</v>
      </c>
      <c r="J33" s="18">
        <v>0</v>
      </c>
      <c r="K33" s="18">
        <v>0</v>
      </c>
      <c r="L33" s="35" t="s">
        <v>9</v>
      </c>
      <c r="M33" s="18" t="s">
        <v>1460</v>
      </c>
      <c r="N33" s="35" t="s">
        <v>1408</v>
      </c>
      <c r="O33" s="18" t="s">
        <v>1323</v>
      </c>
      <c r="P33" s="18" t="s">
        <v>1292</v>
      </c>
      <c r="Q33" s="18" t="s">
        <v>1461</v>
      </c>
      <c r="R33" s="46"/>
    </row>
    <row r="34" spans="1:18" x14ac:dyDescent="0.25">
      <c r="A34" s="16">
        <v>32</v>
      </c>
      <c r="B34" s="16" t="str">
        <f t="shared" si="0"/>
        <v>100000</v>
      </c>
      <c r="C34" s="18" t="s">
        <v>440</v>
      </c>
      <c r="D34" s="18" t="s">
        <v>1366</v>
      </c>
      <c r="E34" s="18" t="s">
        <v>1462</v>
      </c>
      <c r="F34" s="18" t="s">
        <v>1435</v>
      </c>
      <c r="G34" s="18" t="s">
        <v>1457</v>
      </c>
      <c r="H34" s="18" t="s">
        <v>1463</v>
      </c>
      <c r="I34" s="18" t="s">
        <v>1453</v>
      </c>
      <c r="J34" s="18">
        <v>0</v>
      </c>
      <c r="K34" s="18">
        <v>0</v>
      </c>
      <c r="L34" s="35" t="s">
        <v>9</v>
      </c>
      <c r="M34" s="18" t="s">
        <v>1460</v>
      </c>
      <c r="N34" s="35" t="s">
        <v>1408</v>
      </c>
      <c r="O34" s="18" t="s">
        <v>104</v>
      </c>
      <c r="P34" s="18" t="s">
        <v>1454</v>
      </c>
      <c r="Q34" s="18" t="s">
        <v>1464</v>
      </c>
      <c r="R34" s="46"/>
    </row>
    <row r="35" spans="1:18" x14ac:dyDescent="0.25">
      <c r="A35" s="16">
        <v>33</v>
      </c>
      <c r="B35" s="16" t="str">
        <f t="shared" si="0"/>
        <v>100001</v>
      </c>
      <c r="C35" s="18" t="s">
        <v>440</v>
      </c>
      <c r="D35" s="18" t="s">
        <v>1374</v>
      </c>
      <c r="E35" s="18" t="s">
        <v>1465</v>
      </c>
      <c r="F35" s="18" t="s">
        <v>1435</v>
      </c>
      <c r="G35" s="18" t="s">
        <v>1457</v>
      </c>
      <c r="H35" s="18" t="s">
        <v>1463</v>
      </c>
      <c r="I35" s="18" t="s">
        <v>1453</v>
      </c>
      <c r="J35" s="18">
        <v>0</v>
      </c>
      <c r="K35" s="18">
        <v>0</v>
      </c>
      <c r="L35" s="35" t="s">
        <v>9</v>
      </c>
      <c r="M35" s="18" t="s">
        <v>1460</v>
      </c>
      <c r="N35" s="35" t="s">
        <v>1408</v>
      </c>
      <c r="O35" s="18" t="s">
        <v>104</v>
      </c>
      <c r="P35" s="18" t="s">
        <v>1466</v>
      </c>
      <c r="Q35" s="18" t="s">
        <v>1467</v>
      </c>
      <c r="R35" s="46"/>
    </row>
    <row r="36" spans="1:18" x14ac:dyDescent="0.25">
      <c r="A36" s="16">
        <v>34</v>
      </c>
      <c r="B36" s="16" t="str">
        <f t="shared" si="0"/>
        <v>100010</v>
      </c>
      <c r="C36" s="18" t="s">
        <v>116</v>
      </c>
      <c r="D36" s="18" t="s">
        <v>1315</v>
      </c>
      <c r="E36" s="18" t="s">
        <v>1468</v>
      </c>
      <c r="F36" s="18" t="s">
        <v>1352</v>
      </c>
      <c r="G36" s="18" t="s">
        <v>1469</v>
      </c>
      <c r="H36" s="18">
        <v>8</v>
      </c>
      <c r="I36" s="18" t="s">
        <v>1354</v>
      </c>
      <c r="J36" s="18" t="s">
        <v>1384</v>
      </c>
      <c r="K36" s="18">
        <v>0</v>
      </c>
      <c r="L36" s="35" t="s">
        <v>9</v>
      </c>
      <c r="M36" s="18" t="s">
        <v>1371</v>
      </c>
      <c r="N36" s="18" t="s">
        <v>1344</v>
      </c>
      <c r="O36" s="18" t="s">
        <v>1312</v>
      </c>
      <c r="P36" s="19">
        <v>1400</v>
      </c>
      <c r="Q36" s="18" t="s">
        <v>1470</v>
      </c>
      <c r="R36" s="46"/>
    </row>
  </sheetData>
  <mergeCells count="6">
    <mergeCell ref="R27:R36"/>
    <mergeCell ref="R3:R7"/>
    <mergeCell ref="R8:R9"/>
    <mergeCell ref="R10:R15"/>
    <mergeCell ref="R16:R21"/>
    <mergeCell ref="R22:R26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Recopilación de Datos</vt:lpstr>
      <vt:lpstr>Procesador</vt:lpstr>
      <vt:lpstr>GPU</vt:lpstr>
      <vt:lpstr>RAM</vt:lpstr>
      <vt:lpstr>Almacenamiento</vt:lpstr>
      <vt:lpstr>Refrigeración</vt:lpstr>
      <vt:lpstr>Fuente</vt:lpstr>
      <vt:lpstr>Gabinete</vt:lpstr>
      <vt:lpstr>Aditamentos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BASILIO</dc:creator>
  <cp:lastModifiedBy>ALAN BASILIO</cp:lastModifiedBy>
  <dcterms:created xsi:type="dcterms:W3CDTF">2025-10-13T20:00:50Z</dcterms:created>
  <dcterms:modified xsi:type="dcterms:W3CDTF">2025-12-02T02:40:04Z</dcterms:modified>
</cp:coreProperties>
</file>